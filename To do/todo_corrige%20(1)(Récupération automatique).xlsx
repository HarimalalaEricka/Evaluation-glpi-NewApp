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ccc9ba13b5ec9e0/Documents/GitHub/Evaluation-glpi-NewApp/To do/"/>
    </mc:Choice>
  </mc:AlternateContent>
  <xr:revisionPtr revIDLastSave="7" documentId="8_{C1E157F7-4C2F-421F-9EA6-5A3263409E97}" xr6:coauthVersionLast="47" xr6:coauthVersionMax="47" xr10:uidLastSave="{403AFA0C-011A-47D0-A999-B8D5721DE151}"/>
  <bookViews>
    <workbookView xWindow="-120" yWindow="-120" windowWidth="20730" windowHeight="11040" tabRatio="500" firstSheet="1" activeTab="3" xr2:uid="{00000000-000D-0000-FFFF-FFFF00000000}"/>
  </bookViews>
  <sheets>
    <sheet name="groupe" sheetId="1" r:id="rId1"/>
    <sheet name="liste des taches" sheetId="2" r:id="rId2"/>
    <sheet name="Recap" sheetId="3" r:id="rId3"/>
    <sheet name="avancement" sheetId="4" r:id="rId4"/>
    <sheet name="detail_avancement" sheetId="5" r:id="rId5"/>
  </sheets>
  <calcPr calcId="191029" iterateDelta="1E-4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3" i="2" l="1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B27" i="5"/>
  <c r="B28" i="5"/>
  <c r="B29" i="5"/>
  <c r="B30" i="5"/>
  <c r="I30" i="2" s="1"/>
  <c r="B31" i="5"/>
  <c r="I31" i="2" s="1"/>
  <c r="K31" i="2" s="1"/>
  <c r="B32" i="5"/>
  <c r="I32" i="2" s="1"/>
  <c r="K32" i="2" s="1"/>
  <c r="B26" i="5"/>
  <c r="I26" i="2" s="1"/>
  <c r="B25" i="5"/>
  <c r="B24" i="5"/>
  <c r="B23" i="5"/>
  <c r="I23" i="2" s="1"/>
  <c r="B22" i="5"/>
  <c r="B21" i="5"/>
  <c r="B20" i="5"/>
  <c r="B19" i="5"/>
  <c r="I19" i="2" s="1"/>
  <c r="B18" i="5"/>
  <c r="B17" i="5"/>
  <c r="B16" i="5"/>
  <c r="B15" i="5"/>
  <c r="I15" i="2" s="1"/>
  <c r="B14" i="5"/>
  <c r="B13" i="5"/>
  <c r="B12" i="5"/>
  <c r="B11" i="5"/>
  <c r="I11" i="2" s="1"/>
  <c r="B10" i="5"/>
  <c r="B9" i="5"/>
  <c r="B8" i="5"/>
  <c r="B7" i="5"/>
  <c r="I7" i="2" s="1"/>
  <c r="B6" i="5"/>
  <c r="B5" i="5"/>
  <c r="B4" i="5"/>
  <c r="B3" i="5"/>
  <c r="I3" i="2" s="1"/>
  <c r="B2" i="5"/>
  <c r="A2" i="4"/>
  <c r="A3" i="4" s="1"/>
  <c r="I29" i="2"/>
  <c r="K29" i="2" s="1"/>
  <c r="I28" i="2"/>
  <c r="K28" i="2" s="1"/>
  <c r="I27" i="2"/>
  <c r="K27" i="2" s="1"/>
  <c r="I25" i="2"/>
  <c r="K25" i="2" s="1"/>
  <c r="I24" i="2"/>
  <c r="K24" i="2" s="1"/>
  <c r="L22" i="2"/>
  <c r="I22" i="2"/>
  <c r="K22" i="2" s="1"/>
  <c r="L21" i="2"/>
  <c r="I21" i="2"/>
  <c r="K21" i="2" s="1"/>
  <c r="L20" i="2"/>
  <c r="I20" i="2"/>
  <c r="K20" i="2" s="1"/>
  <c r="L18" i="2"/>
  <c r="I18" i="2"/>
  <c r="K18" i="2" s="1"/>
  <c r="L17" i="2"/>
  <c r="I17" i="2"/>
  <c r="K17" i="2" s="1"/>
  <c r="L16" i="2"/>
  <c r="I16" i="2"/>
  <c r="K16" i="2" s="1"/>
  <c r="L14" i="2"/>
  <c r="I14" i="2"/>
  <c r="K14" i="2" s="1"/>
  <c r="L13" i="2"/>
  <c r="I13" i="2"/>
  <c r="K13" i="2" s="1"/>
  <c r="L12" i="2"/>
  <c r="I12" i="2"/>
  <c r="K12" i="2" s="1"/>
  <c r="L10" i="2"/>
  <c r="I10" i="2"/>
  <c r="K10" i="2" s="1"/>
  <c r="L9" i="2"/>
  <c r="I9" i="2"/>
  <c r="K9" i="2" s="1"/>
  <c r="L8" i="2"/>
  <c r="I8" i="2"/>
  <c r="K8" i="2" s="1"/>
  <c r="L6" i="2"/>
  <c r="I6" i="2"/>
  <c r="K6" i="2" s="1"/>
  <c r="L5" i="2"/>
  <c r="I5" i="2"/>
  <c r="K5" i="2" s="1"/>
  <c r="L4" i="2"/>
  <c r="I4" i="2"/>
  <c r="K4" i="2" s="1"/>
  <c r="L2" i="2"/>
  <c r="I2" i="2"/>
  <c r="K26" i="2" l="1"/>
  <c r="L26" i="2"/>
  <c r="L24" i="2"/>
  <c r="K30" i="2"/>
  <c r="L30" i="2"/>
  <c r="L29" i="2"/>
  <c r="L27" i="2"/>
  <c r="L31" i="2"/>
  <c r="L28" i="2"/>
  <c r="L32" i="2"/>
  <c r="L25" i="2"/>
  <c r="K3" i="2"/>
  <c r="J3" i="2"/>
  <c r="L3" i="2"/>
  <c r="K7" i="2"/>
  <c r="J7" i="2"/>
  <c r="L7" i="2"/>
  <c r="K11" i="2"/>
  <c r="J11" i="2"/>
  <c r="L11" i="2"/>
  <c r="K15" i="2"/>
  <c r="J15" i="2"/>
  <c r="L15" i="2"/>
  <c r="K19" i="2"/>
  <c r="J19" i="2"/>
  <c r="L19" i="2"/>
  <c r="K23" i="2"/>
  <c r="J23" i="2"/>
  <c r="L23" i="2"/>
  <c r="B2" i="4"/>
  <c r="J2" i="2"/>
  <c r="J4" i="2"/>
  <c r="J5" i="2"/>
  <c r="J6" i="2"/>
  <c r="J8" i="2"/>
  <c r="J9" i="2"/>
  <c r="J10" i="2"/>
  <c r="J12" i="2"/>
  <c r="J13" i="2"/>
  <c r="J14" i="2"/>
  <c r="J16" i="2"/>
  <c r="J17" i="2"/>
  <c r="J18" i="2"/>
  <c r="J20" i="2"/>
  <c r="J21" i="2"/>
  <c r="J22" i="2"/>
  <c r="J24" i="2"/>
  <c r="J25" i="2"/>
  <c r="J26" i="2"/>
  <c r="J27" i="2"/>
  <c r="J28" i="2"/>
  <c r="J29" i="2"/>
  <c r="J30" i="2"/>
  <c r="J31" i="2"/>
  <c r="J32" i="2"/>
  <c r="K2" i="2"/>
  <c r="E2" i="4" l="1"/>
  <c r="D2" i="4"/>
  <c r="B12" i="3" s="1"/>
  <c r="C2" i="4"/>
  <c r="C3" i="4" s="1"/>
</calcChain>
</file>

<file path=xl/sharedStrings.xml><?xml version="1.0" encoding="utf-8"?>
<sst xmlns="http://schemas.openxmlformats.org/spreadsheetml/2006/main" count="325" uniqueCount="90">
  <si>
    <t>ETU003350</t>
  </si>
  <si>
    <t>RANDRIANOMENA Harimalala Ericka</t>
  </si>
  <si>
    <t>Ligne</t>
  </si>
  <si>
    <t>Catégorie</t>
  </si>
  <si>
    <t>Module</t>
  </si>
  <si>
    <t>Page</t>
  </si>
  <si>
    <t>Description tâche</t>
  </si>
  <si>
    <t>Type</t>
  </si>
  <si>
    <t>Qui</t>
  </si>
  <si>
    <t>Estimation</t>
  </si>
  <si>
    <t>Temps passé</t>
  </si>
  <si>
    <t>Reste à faire</t>
  </si>
  <si>
    <t>Avancement</t>
  </si>
  <si>
    <t>Dépassement</t>
  </si>
  <si>
    <t>Backoffice</t>
  </si>
  <si>
    <t>Gestion Reset</t>
  </si>
  <si>
    <t>deleteView</t>
  </si>
  <si>
    <t>Bouton de reinitialisaton</t>
  </si>
  <si>
    <t>Affichage</t>
  </si>
  <si>
    <t>deleteService</t>
  </si>
  <si>
    <t>deleteAll</t>
  </si>
  <si>
    <t>Metier</t>
  </si>
  <si>
    <t>Integration</t>
  </si>
  <si>
    <t>Gestion Import</t>
  </si>
  <si>
    <t>importView</t>
  </si>
  <si>
    <t>Formulaire de fichier csv</t>
  </si>
  <si>
    <t>importService</t>
  </si>
  <si>
    <t>importAssets</t>
  </si>
  <si>
    <t>importTicktes</t>
  </si>
  <si>
    <t>importCost</t>
  </si>
  <si>
    <t>importImage</t>
  </si>
  <si>
    <t>Gestion Protection</t>
  </si>
  <si>
    <t>entreView</t>
  </si>
  <si>
    <t>formulaire de code unique</t>
  </si>
  <si>
    <t>entreService</t>
  </si>
  <si>
    <t>validerCode</t>
  </si>
  <si>
    <t>Gestion Dashboard</t>
  </si>
  <si>
    <t>dashboardView</t>
  </si>
  <si>
    <t>nombre general d element et ticket</t>
  </si>
  <si>
    <t>dashboardService</t>
  </si>
  <si>
    <t>countElement</t>
  </si>
  <si>
    <t>countTicket</t>
  </si>
  <si>
    <t>Gestion Ticket</t>
  </si>
  <si>
    <t>ticketListView</t>
  </si>
  <si>
    <t>liste des tickets</t>
  </si>
  <si>
    <t>ticketService</t>
  </si>
  <si>
    <t>getAllTicket</t>
  </si>
  <si>
    <t>ticketFicheView</t>
  </si>
  <si>
    <t>fiche d un ticket</t>
  </si>
  <si>
    <t>getById</t>
  </si>
  <si>
    <t>Frontoffice</t>
  </si>
  <si>
    <t>Gestion Assets</t>
  </si>
  <si>
    <t>assetsListView</t>
  </si>
  <si>
    <t>liste des elements</t>
  </si>
  <si>
    <t>assetsService</t>
  </si>
  <si>
    <t>getItems</t>
  </si>
  <si>
    <t>recherche multi critere</t>
  </si>
  <si>
    <t>searchAssets</t>
  </si>
  <si>
    <t>ticketformView</t>
  </si>
  <si>
    <t>formulaire de creation de ticket</t>
  </si>
  <si>
    <t>insertTicket</t>
  </si>
  <si>
    <t>Data</t>
  </si>
  <si>
    <t>SUM of Estimation</t>
  </si>
  <si>
    <t>SUM of Temps passé</t>
  </si>
  <si>
    <t>SUM of Reste à faire</t>
  </si>
  <si>
    <t>(empty)</t>
  </si>
  <si>
    <t>Total Result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</si>
  <si>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</si>
  <si>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</si>
  <si>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</si>
  <si>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</si>
  <si>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</si>
  <si>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</si>
  <si>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</si>
  <si>
    <t>ticketListFrontView</t>
  </si>
  <si>
    <t>Presentation des ticket au format kanban</t>
  </si>
  <si>
    <t>Changer status</t>
  </si>
  <si>
    <t>ajouter ticket</t>
  </si>
  <si>
    <t>ticketDetailView</t>
  </si>
  <si>
    <t>Detail d un ticket</t>
  </si>
  <si>
    <t>getTicketById</t>
  </si>
  <si>
    <t>nombre total de ticket par colonne</t>
  </si>
  <si>
    <t>getNombreTicket</t>
  </si>
  <si>
    <t>ticketColorView</t>
  </si>
  <si>
    <t>Gestion des couleur de la kanban</t>
  </si>
  <si>
    <t>insertColor</t>
  </si>
  <si>
    <t>couleur kanban depuis sqlite</t>
  </si>
  <si>
    <t>ticketLangView</t>
  </si>
  <si>
    <t>gestion des langue des status</t>
  </si>
  <si>
    <t>insertLang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</si>
</sst>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 min&quot;"/>
    <numFmt numFmtId="165" formatCode="d/m"/>
  </numFmts>
  <fonts count="15"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10"/>
      <color theme="1"/>
      <name val="Arial"/>
      <charset val="1"/>
    </font>
    <font>
      <b/>
      <sz val="11"/>
      <color rgb="FF000000"/>
      <name val="Arial"/>
      <charset val="1"/>
    </font>
    <font>
      <b/>
      <sz val="11"/>
      <color rgb="FF000000"/>
      <name val="Times New Roman"/>
      <charset val="1"/>
    </font>
    <font>
      <b/>
      <sz val="11"/>
      <color rgb="FFFFFFFF"/>
      <name val="Cambria"/>
      <charset val="1"/>
    </font>
    <font>
      <sz val="10"/>
      <color theme="1"/>
      <name val="Times New Roman"/>
      <charset val="1"/>
    </font>
    <font>
      <sz val="10"/>
      <color theme="1"/>
      <name val="Arial"/>
      <family val="2"/>
      <charset val="1"/>
    </font>
    <font>
      <b/>
      <sz val="10"/>
      <color theme="1"/>
      <name val="Arial"/>
      <charset val="1"/>
    </font>
    <font>
      <b/>
      <sz val="12"/>
      <color theme="1"/>
      <name val="Aptos Narrow"/>
      <charset val="1"/>
    </font>
    <font>
      <sz val="12"/>
      <color theme="1"/>
      <name val="Aptos Narrow"/>
      <charset val="1"/>
    </font>
    <font>
      <sz val="10"/>
      <color rgb="FF000000"/>
      <name val="Arial"/>
      <charset val="1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  <fill>
      <patternFill patternType="solid">
        <fgColor rgb="FFCC0000"/>
        <bgColor rgb="FF800000"/>
      </patternFill>
    </fill>
    <fill>
      <patternFill patternType="solid">
        <fgColor rgb="FFFFE599"/>
        <bgColor rgb="FFFFFF99"/>
      </patternFill>
    </fill>
    <fill>
      <patternFill patternType="solid">
        <fgColor rgb="FF95DCF7"/>
        <bgColor rgb="FFC9DAF8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</borders>
  <cellStyleXfs count="7">
    <xf numFmtId="0" fontId="0" fillId="0" borderId="0"/>
    <xf numFmtId="0" fontId="11" fillId="0" borderId="0">
      <alignment horizontal="left"/>
    </xf>
    <xf numFmtId="0" fontId="11" fillId="0" borderId="0"/>
    <xf numFmtId="0" fontId="11" fillId="0" borderId="0"/>
    <xf numFmtId="0" fontId="1" fillId="0" borderId="0"/>
    <xf numFmtId="0" fontId="1" fillId="0" borderId="0">
      <alignment horizontal="left"/>
    </xf>
    <xf numFmtId="0" fontId="11" fillId="0" borderId="0"/>
  </cellStyleXfs>
  <cellXfs count="52">
    <xf numFmtId="0" fontId="0" fillId="0" borderId="0" xfId="0"/>
    <xf numFmtId="0" fontId="2" fillId="0" borderId="0" xfId="0" applyFont="1" applyAlignment="1"/>
    <xf numFmtId="0" fontId="0" fillId="0" borderId="0" xfId="0" applyAlignment="1"/>
    <xf numFmtId="0" fontId="3" fillId="2" borderId="0" xfId="0" applyFont="1" applyFill="1" applyAlignment="1"/>
    <xf numFmtId="0" fontId="3" fillId="2" borderId="1" xfId="0" applyFont="1" applyFill="1" applyBorder="1" applyAlignment="1"/>
    <xf numFmtId="0" fontId="4" fillId="2" borderId="1" xfId="0" applyFont="1" applyFill="1" applyBorder="1" applyAlignment="1"/>
    <xf numFmtId="0" fontId="5" fillId="3" borderId="0" xfId="0" applyFont="1" applyFill="1" applyAlignment="1">
      <alignment horizontal="center"/>
    </xf>
    <xf numFmtId="0" fontId="2" fillId="0" borderId="1" xfId="0" applyFont="1" applyBorder="1" applyAlignment="1"/>
    <xf numFmtId="0" fontId="6" fillId="0" borderId="1" xfId="0" applyFont="1" applyBorder="1" applyAlignment="1"/>
    <xf numFmtId="0" fontId="2" fillId="0" borderId="1" xfId="0" applyFont="1" applyBorder="1" applyAlignment="1">
      <alignment horizontal="right"/>
    </xf>
    <xf numFmtId="9" fontId="2" fillId="0" borderId="1" xfId="0" applyNumberFormat="1" applyFont="1" applyBorder="1" applyAlignment="1">
      <alignment horizontal="right"/>
    </xf>
    <xf numFmtId="164" fontId="0" fillId="0" borderId="0" xfId="0" applyNumberFormat="1" applyAlignment="1"/>
    <xf numFmtId="0" fontId="7" fillId="0" borderId="1" xfId="0" applyFont="1" applyBorder="1" applyAlignment="1"/>
    <xf numFmtId="0" fontId="7" fillId="0" borderId="0" xfId="0" applyFont="1" applyAlignment="1"/>
    <xf numFmtId="0" fontId="7" fillId="0" borderId="2" xfId="0" applyFont="1" applyBorder="1" applyAlignment="1"/>
    <xf numFmtId="0" fontId="11" fillId="0" borderId="3" xfId="2" applyBorder="1"/>
    <xf numFmtId="0" fontId="0" fillId="0" borderId="4" xfId="3" applyFont="1" applyBorder="1"/>
    <xf numFmtId="0" fontId="11" fillId="0" borderId="5" xfId="2" applyBorder="1"/>
    <xf numFmtId="0" fontId="11" fillId="0" borderId="6" xfId="2" applyBorder="1"/>
    <xf numFmtId="0" fontId="0" fillId="0" borderId="7" xfId="3" applyFont="1" applyBorder="1"/>
    <xf numFmtId="0" fontId="0" fillId="0" borderId="8" xfId="1" applyFont="1" applyBorder="1">
      <alignment horizontal="left"/>
    </xf>
    <xf numFmtId="0" fontId="0" fillId="0" borderId="9" xfId="1" applyFont="1" applyBorder="1">
      <alignment horizontal="left"/>
    </xf>
    <xf numFmtId="0" fontId="0" fillId="0" borderId="10" xfId="1" applyFont="1" applyBorder="1">
      <alignment horizontal="left"/>
    </xf>
    <xf numFmtId="0" fontId="0" fillId="0" borderId="11" xfId="1" applyFont="1" applyBorder="1">
      <alignment horizontal="left"/>
    </xf>
    <xf numFmtId="0" fontId="11" fillId="0" borderId="12" xfId="6" applyBorder="1"/>
    <xf numFmtId="0" fontId="11" fillId="0" borderId="13" xfId="6" applyBorder="1"/>
    <xf numFmtId="0" fontId="11" fillId="0" borderId="14" xfId="6" applyBorder="1"/>
    <xf numFmtId="0" fontId="0" fillId="0" borderId="15" xfId="1" applyFont="1" applyBorder="1">
      <alignment horizontal="left"/>
    </xf>
    <xf numFmtId="0" fontId="11" fillId="0" borderId="8" xfId="6" applyBorder="1"/>
    <xf numFmtId="0" fontId="11" fillId="0" borderId="9" xfId="6" applyBorder="1"/>
    <xf numFmtId="0" fontId="11" fillId="0" borderId="10" xfId="6" applyBorder="1"/>
    <xf numFmtId="0" fontId="1" fillId="0" borderId="16" xfId="5" applyFont="1" applyBorder="1">
      <alignment horizontal="left"/>
    </xf>
    <xf numFmtId="0" fontId="1" fillId="0" borderId="17" xfId="4" applyBorder="1"/>
    <xf numFmtId="0" fontId="1" fillId="0" borderId="18" xfId="4" applyBorder="1"/>
    <xf numFmtId="0" fontId="1" fillId="0" borderId="19" xfId="4" applyBorder="1"/>
    <xf numFmtId="0" fontId="8" fillId="4" borderId="0" xfId="0" applyFont="1" applyFill="1" applyAlignment="1"/>
    <xf numFmtId="10" fontId="8" fillId="4" borderId="0" xfId="0" applyNumberFormat="1" applyFont="1" applyFill="1" applyAlignment="1"/>
    <xf numFmtId="0" fontId="9" fillId="5" borderId="0" xfId="0" applyFont="1" applyFill="1" applyAlignment="1"/>
    <xf numFmtId="0" fontId="10" fillId="0" borderId="0" xfId="0" applyFont="1" applyAlignment="1">
      <alignment horizontal="right"/>
    </xf>
    <xf numFmtId="1" fontId="10" fillId="0" borderId="0" xfId="0" applyNumberFormat="1" applyFont="1" applyAlignment="1">
      <alignment horizontal="right"/>
    </xf>
    <xf numFmtId="10" fontId="10" fillId="0" borderId="0" xfId="0" applyNumberFormat="1" applyFont="1" applyAlignment="1">
      <alignment horizontal="right"/>
    </xf>
    <xf numFmtId="0" fontId="10" fillId="0" borderId="0" xfId="0" applyFont="1" applyAlignment="1"/>
    <xf numFmtId="0" fontId="12" fillId="5" borderId="0" xfId="0" applyFont="1" applyFill="1" applyAlignment="1"/>
    <xf numFmtId="0" fontId="12" fillId="0" borderId="0" xfId="0" applyFont="1" applyAlignment="1"/>
    <xf numFmtId="165" fontId="12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/>
    <xf numFmtId="0" fontId="14" fillId="0" borderId="0" xfId="0" applyFont="1" applyAlignment="1"/>
    <xf numFmtId="0" fontId="7" fillId="0" borderId="2" xfId="0" applyFont="1" applyFill="1" applyBorder="1" applyAlignment="1"/>
    <xf numFmtId="0" fontId="7" fillId="0" borderId="0" xfId="0" applyFont="1" applyFill="1" applyBorder="1" applyAlignment="1"/>
    <xf numFmtId="0" fontId="2" fillId="0" borderId="2" xfId="0" applyFont="1" applyFill="1" applyBorder="1" applyAlignment="1"/>
    <xf numFmtId="0" fontId="7" fillId="0" borderId="20" xfId="0" applyFont="1" applyFill="1" applyBorder="1" applyAlignment="1"/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DCF7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todo_corrige%20(1)(R&#233;cup&#233;ration%20automatique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31" xr:uid="{00000000-000A-0000-FFFF-FFFF01000000}">
  <cacheSource type="worksheet">
    <worksheetSource ref="B1:K993" sheet="liste des taches" r:id="rId2"/>
  </cacheSource>
  <cacheFields count="10">
    <cacheField name="Catégorie" numFmtId="0">
      <sharedItems containsBlank="1" count="3">
        <s v="Backoffice"/>
        <s v="Frontoffice"/>
        <m/>
      </sharedItems>
    </cacheField>
    <cacheField name="Module" numFmtId="0">
      <sharedItems containsBlank="1" count="7">
        <s v="Gestion Assets"/>
        <s v="Gestion Dashboard"/>
        <s v="Gestion Import"/>
        <s v="Gestion Protection"/>
        <s v="Gestion Reset"/>
        <s v="Gestion Ticket"/>
        <m/>
      </sharedItems>
    </cacheField>
    <cacheField name="Page" numFmtId="0">
      <sharedItems containsBlank="1" count="15">
        <s v="assetsListView"/>
        <s v="assetsService"/>
        <s v="dashboardService"/>
        <s v="dashboardView"/>
        <s v="deleteService"/>
        <s v="deleteView"/>
        <s v="entreService"/>
        <s v="entreView"/>
        <s v="importService"/>
        <s v="importView"/>
        <s v="ticketFicheView"/>
        <s v="ticketformView"/>
        <s v="ticketListView"/>
        <s v="ticketService"/>
        <m/>
      </sharedItems>
    </cacheField>
    <cacheField name="Description tâche" numFmtId="0">
      <sharedItems containsBlank="1" count="24">
        <s v="Bouton de reinitialisaton"/>
        <s v="countElement"/>
        <s v="countTicket"/>
        <s v="deleteAll"/>
        <s v="fiche d un ticket"/>
        <s v="formulaire de code unique"/>
        <s v="formulaire de creation de ticket"/>
        <s v="Formulaire de fichier csv"/>
        <s v="getAllTicket"/>
        <s v="getById"/>
        <s v="getItems"/>
        <s v="importAssets"/>
        <s v="importCost"/>
        <s v="importImage"/>
        <s v="importTicktes"/>
        <s v="insertTicket"/>
        <s v="Integration"/>
        <s v="liste des elements"/>
        <s v="liste des tickets"/>
        <s v="nombre general d element et ticket"/>
        <s v="recherche multi critere"/>
        <s v="searchAssets"/>
        <s v="validerCode"/>
        <m/>
      </sharedItems>
    </cacheField>
    <cacheField name="Type" numFmtId="0">
      <sharedItems containsBlank="1" count="4">
        <s v="Affichage"/>
        <s v="Integration"/>
        <s v="Metier"/>
        <m/>
      </sharedItems>
    </cacheField>
    <cacheField name="Qui" numFmtId="0">
      <sharedItems containsBlank="1" count="2">
        <s v="ETU003350"/>
        <m/>
      </sharedItems>
    </cacheField>
    <cacheField name="Estimation" numFmtId="0">
      <sharedItems containsString="0" containsBlank="1" containsNumber="1" containsInteger="1" minValue="5" maxValue="50" count="7">
        <n v="5"/>
        <n v="10"/>
        <n v="15"/>
        <n v="20"/>
        <n v="25"/>
        <n v="50"/>
        <m/>
      </sharedItems>
    </cacheField>
    <cacheField name="Temps passé" numFmtId="0">
      <sharedItems containsString="0" containsBlank="1" containsNumber="1" containsInteger="1" minValue="0" maxValue="75" count="10">
        <n v="0"/>
        <n v="5"/>
        <n v="9"/>
        <n v="10"/>
        <n v="15"/>
        <n v="20"/>
        <n v="25"/>
        <n v="50"/>
        <n v="75"/>
        <m/>
      </sharedItems>
    </cacheField>
    <cacheField name="Reste à faire" numFmtId="0">
      <sharedItems containsString="0" containsBlank="1" containsNumber="1" containsInteger="1" minValue="0" maxValue="25" count="7">
        <n v="0"/>
        <n v="5"/>
        <n v="10"/>
        <n v="15"/>
        <n v="20"/>
        <n v="25"/>
        <m/>
      </sharedItems>
    </cacheField>
    <cacheField name="Avancement" numFmtId="0">
      <sharedItems containsString="0" containsBlank="1" containsNumber="1" minValue="0" maxValue="1" count="4">
        <n v="0"/>
        <n v="0.5"/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4"/>
    <x v="5"/>
    <x v="0"/>
    <x v="0"/>
    <x v="0"/>
    <x v="0"/>
    <x v="1"/>
    <x v="0"/>
    <x v="2"/>
  </r>
  <r>
    <x v="0"/>
    <x v="4"/>
    <x v="4"/>
    <x v="3"/>
    <x v="2"/>
    <x v="0"/>
    <x v="3"/>
    <x v="5"/>
    <x v="0"/>
    <x v="2"/>
  </r>
  <r>
    <x v="0"/>
    <x v="4"/>
    <x v="5"/>
    <x v="0"/>
    <x v="1"/>
    <x v="0"/>
    <x v="1"/>
    <x v="3"/>
    <x v="0"/>
    <x v="2"/>
  </r>
  <r>
    <x v="0"/>
    <x v="2"/>
    <x v="9"/>
    <x v="7"/>
    <x v="0"/>
    <x v="0"/>
    <x v="2"/>
    <x v="4"/>
    <x v="0"/>
    <x v="2"/>
  </r>
  <r>
    <x v="0"/>
    <x v="2"/>
    <x v="8"/>
    <x v="11"/>
    <x v="2"/>
    <x v="0"/>
    <x v="5"/>
    <x v="8"/>
    <x v="0"/>
    <x v="2"/>
  </r>
  <r>
    <x v="0"/>
    <x v="2"/>
    <x v="8"/>
    <x v="14"/>
    <x v="2"/>
    <x v="0"/>
    <x v="5"/>
    <x v="8"/>
    <x v="0"/>
    <x v="2"/>
  </r>
  <r>
    <x v="0"/>
    <x v="2"/>
    <x v="8"/>
    <x v="12"/>
    <x v="2"/>
    <x v="0"/>
    <x v="5"/>
    <x v="8"/>
    <x v="0"/>
    <x v="2"/>
  </r>
  <r>
    <x v="0"/>
    <x v="2"/>
    <x v="8"/>
    <x v="13"/>
    <x v="2"/>
    <x v="0"/>
    <x v="5"/>
    <x v="7"/>
    <x v="0"/>
    <x v="2"/>
  </r>
  <r>
    <x v="0"/>
    <x v="2"/>
    <x v="9"/>
    <x v="16"/>
    <x v="1"/>
    <x v="0"/>
    <x v="2"/>
    <x v="4"/>
    <x v="0"/>
    <x v="2"/>
  </r>
  <r>
    <x v="0"/>
    <x v="3"/>
    <x v="7"/>
    <x v="5"/>
    <x v="0"/>
    <x v="0"/>
    <x v="0"/>
    <x v="1"/>
    <x v="0"/>
    <x v="2"/>
  </r>
  <r>
    <x v="0"/>
    <x v="3"/>
    <x v="6"/>
    <x v="22"/>
    <x v="1"/>
    <x v="0"/>
    <x v="3"/>
    <x v="5"/>
    <x v="0"/>
    <x v="2"/>
  </r>
  <r>
    <x v="0"/>
    <x v="3"/>
    <x v="7"/>
    <x v="16"/>
    <x v="1"/>
    <x v="0"/>
    <x v="0"/>
    <x v="2"/>
    <x v="0"/>
    <x v="2"/>
  </r>
  <r>
    <x v="0"/>
    <x v="1"/>
    <x v="3"/>
    <x v="19"/>
    <x v="0"/>
    <x v="0"/>
    <x v="1"/>
    <x v="3"/>
    <x v="0"/>
    <x v="2"/>
  </r>
  <r>
    <x v="0"/>
    <x v="1"/>
    <x v="2"/>
    <x v="1"/>
    <x v="2"/>
    <x v="0"/>
    <x v="1"/>
    <x v="7"/>
    <x v="0"/>
    <x v="2"/>
  </r>
  <r>
    <x v="0"/>
    <x v="1"/>
    <x v="2"/>
    <x v="2"/>
    <x v="2"/>
    <x v="0"/>
    <x v="1"/>
    <x v="5"/>
    <x v="0"/>
    <x v="2"/>
  </r>
  <r>
    <x v="0"/>
    <x v="1"/>
    <x v="3"/>
    <x v="16"/>
    <x v="1"/>
    <x v="0"/>
    <x v="1"/>
    <x v="1"/>
    <x v="1"/>
    <x v="1"/>
  </r>
  <r>
    <x v="0"/>
    <x v="5"/>
    <x v="12"/>
    <x v="18"/>
    <x v="0"/>
    <x v="0"/>
    <x v="1"/>
    <x v="3"/>
    <x v="0"/>
    <x v="2"/>
  </r>
  <r>
    <x v="0"/>
    <x v="5"/>
    <x v="13"/>
    <x v="8"/>
    <x v="2"/>
    <x v="0"/>
    <x v="1"/>
    <x v="3"/>
    <x v="0"/>
    <x v="2"/>
  </r>
  <r>
    <x v="0"/>
    <x v="5"/>
    <x v="12"/>
    <x v="16"/>
    <x v="1"/>
    <x v="0"/>
    <x v="0"/>
    <x v="1"/>
    <x v="0"/>
    <x v="2"/>
  </r>
  <r>
    <x v="0"/>
    <x v="5"/>
    <x v="10"/>
    <x v="4"/>
    <x v="0"/>
    <x v="0"/>
    <x v="1"/>
    <x v="5"/>
    <x v="0"/>
    <x v="2"/>
  </r>
  <r>
    <x v="0"/>
    <x v="5"/>
    <x v="13"/>
    <x v="9"/>
    <x v="2"/>
    <x v="0"/>
    <x v="1"/>
    <x v="3"/>
    <x v="0"/>
    <x v="2"/>
  </r>
  <r>
    <x v="0"/>
    <x v="5"/>
    <x v="10"/>
    <x v="16"/>
    <x v="1"/>
    <x v="0"/>
    <x v="0"/>
    <x v="6"/>
    <x v="0"/>
    <x v="2"/>
  </r>
  <r>
    <x v="1"/>
    <x v="0"/>
    <x v="0"/>
    <x v="17"/>
    <x v="0"/>
    <x v="0"/>
    <x v="2"/>
    <x v="0"/>
    <x v="3"/>
    <x v="0"/>
  </r>
  <r>
    <x v="1"/>
    <x v="0"/>
    <x v="1"/>
    <x v="10"/>
    <x v="2"/>
    <x v="0"/>
    <x v="3"/>
    <x v="0"/>
    <x v="4"/>
    <x v="0"/>
  </r>
  <r>
    <x v="1"/>
    <x v="0"/>
    <x v="0"/>
    <x v="16"/>
    <x v="1"/>
    <x v="0"/>
    <x v="1"/>
    <x v="0"/>
    <x v="2"/>
    <x v="0"/>
  </r>
  <r>
    <x v="1"/>
    <x v="0"/>
    <x v="0"/>
    <x v="20"/>
    <x v="0"/>
    <x v="0"/>
    <x v="0"/>
    <x v="0"/>
    <x v="1"/>
    <x v="0"/>
  </r>
  <r>
    <x v="1"/>
    <x v="0"/>
    <x v="1"/>
    <x v="21"/>
    <x v="2"/>
    <x v="0"/>
    <x v="4"/>
    <x v="0"/>
    <x v="5"/>
    <x v="0"/>
  </r>
  <r>
    <x v="1"/>
    <x v="0"/>
    <x v="0"/>
    <x v="16"/>
    <x v="1"/>
    <x v="0"/>
    <x v="0"/>
    <x v="0"/>
    <x v="1"/>
    <x v="0"/>
  </r>
  <r>
    <x v="1"/>
    <x v="5"/>
    <x v="11"/>
    <x v="6"/>
    <x v="0"/>
    <x v="0"/>
    <x v="3"/>
    <x v="0"/>
    <x v="4"/>
    <x v="0"/>
  </r>
  <r>
    <x v="1"/>
    <x v="5"/>
    <x v="13"/>
    <x v="15"/>
    <x v="2"/>
    <x v="0"/>
    <x v="3"/>
    <x v="0"/>
    <x v="4"/>
    <x v="0"/>
  </r>
  <r>
    <x v="1"/>
    <x v="5"/>
    <x v="11"/>
    <x v="16"/>
    <x v="1"/>
    <x v="0"/>
    <x v="2"/>
    <x v="0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Recap" cacheId="0" applyNumberFormats="0" applyBorderFormats="0" applyFontFormats="0" applyPatternFormats="0" applyAlignmentFormats="0" applyWidthHeightFormats="0" dataCaption="Values" itemPrintTitles="1" indent="0" compact="0" compactData="0">
  <location ref="A1:D5" firstHeaderRow="1" firstDataRow="2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compact="0" outline="0" showAll="0"/>
  </pivotFields>
  <rowFields count="1">
    <field x="5"/>
  </rowFields>
  <colFields count="1">
    <field x="-2"/>
  </colFields>
  <dataFields count="3">
    <dataField name="SUM of Estimation" fld="6" baseField="0" baseItem="0"/>
    <dataField name="SUM of Temps passé" fld="7" baseField="0" baseItem="0"/>
    <dataField name="SUM of Reste à faire" fld="8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zoomScaleNormal="100" workbookViewId="0">
      <selection activeCell="B10" sqref="B10"/>
    </sheetView>
  </sheetViews>
  <sheetFormatPr baseColWidth="10" defaultColWidth="12.5703125" defaultRowHeight="12.75"/>
  <sheetData>
    <row r="1" spans="1:2" ht="15.75" customHeight="1">
      <c r="A1" s="1" t="s">
        <v>0</v>
      </c>
      <c r="B1" s="1" t="s">
        <v>1</v>
      </c>
    </row>
    <row r="2" spans="1:2" ht="15.75" customHeight="1">
      <c r="A2" s="1"/>
      <c r="B2" s="1"/>
    </row>
    <row r="3" spans="1:2" ht="15.75" customHeight="1">
      <c r="A3" s="1"/>
      <c r="B3" s="1"/>
    </row>
    <row r="4" spans="1:2" ht="15.75" customHeight="1">
      <c r="A4" s="1"/>
      <c r="B4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8"/>
  <sheetViews>
    <sheetView topLeftCell="A28" zoomScale="82" zoomScaleNormal="82" workbookViewId="0">
      <selection activeCell="C35" sqref="C35"/>
    </sheetView>
  </sheetViews>
  <sheetFormatPr baseColWidth="10" defaultColWidth="12.5703125" defaultRowHeight="12.75"/>
  <cols>
    <col min="1" max="1" width="5.85546875" style="2" customWidth="1"/>
    <col min="2" max="2" width="19" style="2" customWidth="1"/>
    <col min="3" max="3" width="18" style="2" customWidth="1"/>
    <col min="5" max="5" width="16.42578125" style="2" customWidth="1"/>
    <col min="12" max="12" width="14" style="2" customWidth="1"/>
  </cols>
  <sheetData>
    <row r="1" spans="1:12" ht="15.75" customHeight="1">
      <c r="A1" s="3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6" t="s">
        <v>13</v>
      </c>
    </row>
    <row r="2" spans="1:12" ht="12.75" customHeight="1">
      <c r="A2" s="7">
        <v>1</v>
      </c>
      <c r="B2" s="7" t="s">
        <v>14</v>
      </c>
      <c r="C2" s="7" t="s">
        <v>15</v>
      </c>
      <c r="D2" s="7" t="s">
        <v>16</v>
      </c>
      <c r="E2" s="8" t="s">
        <v>17</v>
      </c>
      <c r="F2" s="8" t="s">
        <v>18</v>
      </c>
      <c r="G2" s="7" t="s">
        <v>0</v>
      </c>
      <c r="H2" s="7">
        <v>5</v>
      </c>
      <c r="I2" s="9">
        <f>detail_avancement!B2</f>
        <v>5</v>
      </c>
      <c r="J2" s="9">
        <f t="shared" ref="J2:J50" si="0">MAX(0,H2-I2)</f>
        <v>0</v>
      </c>
      <c r="K2" s="10">
        <f t="shared" ref="K2:K50" si="1">IF(H2=0,0,MIN(1,I2/H2))</f>
        <v>1</v>
      </c>
      <c r="L2" s="11">
        <f t="shared" ref="L2:L50" si="2">IF(I2&gt;H2,I2-H2,0)</f>
        <v>0</v>
      </c>
    </row>
    <row r="3" spans="1:12" ht="12.75" customHeight="1">
      <c r="A3" s="7">
        <v>2</v>
      </c>
      <c r="B3" s="7" t="s">
        <v>14</v>
      </c>
      <c r="C3" s="8" t="s">
        <v>15</v>
      </c>
      <c r="D3" s="7" t="s">
        <v>19</v>
      </c>
      <c r="E3" s="8" t="s">
        <v>20</v>
      </c>
      <c r="F3" s="8" t="s">
        <v>21</v>
      </c>
      <c r="G3" s="7" t="s">
        <v>0</v>
      </c>
      <c r="H3" s="7">
        <v>20</v>
      </c>
      <c r="I3" s="9">
        <f>detail_avancement!B3</f>
        <v>20</v>
      </c>
      <c r="J3" s="9">
        <f t="shared" si="0"/>
        <v>0</v>
      </c>
      <c r="K3" s="10">
        <f t="shared" si="1"/>
        <v>1</v>
      </c>
      <c r="L3" s="11">
        <f t="shared" si="2"/>
        <v>0</v>
      </c>
    </row>
    <row r="4" spans="1:12" ht="12.75" customHeight="1">
      <c r="A4" s="7">
        <v>3</v>
      </c>
      <c r="B4" s="7" t="s">
        <v>14</v>
      </c>
      <c r="C4" s="8" t="s">
        <v>15</v>
      </c>
      <c r="D4" s="12" t="s">
        <v>16</v>
      </c>
      <c r="E4" s="8" t="s">
        <v>17</v>
      </c>
      <c r="F4" s="8" t="s">
        <v>22</v>
      </c>
      <c r="G4" s="7" t="s">
        <v>0</v>
      </c>
      <c r="H4" s="7">
        <v>10</v>
      </c>
      <c r="I4" s="9">
        <f>detail_avancement!B4</f>
        <v>10</v>
      </c>
      <c r="J4" s="9">
        <f t="shared" si="0"/>
        <v>0</v>
      </c>
      <c r="K4" s="10">
        <f t="shared" si="1"/>
        <v>1</v>
      </c>
      <c r="L4" s="11">
        <f t="shared" si="2"/>
        <v>0</v>
      </c>
    </row>
    <row r="5" spans="1:12" ht="12.75" customHeight="1">
      <c r="A5" s="7">
        <v>4</v>
      </c>
      <c r="B5" s="7" t="s">
        <v>14</v>
      </c>
      <c r="C5" s="8" t="s">
        <v>23</v>
      </c>
      <c r="D5" s="12" t="s">
        <v>24</v>
      </c>
      <c r="E5" s="8" t="s">
        <v>25</v>
      </c>
      <c r="F5" s="8" t="s">
        <v>18</v>
      </c>
      <c r="G5" s="7" t="s">
        <v>0</v>
      </c>
      <c r="H5" s="7">
        <v>15</v>
      </c>
      <c r="I5" s="9">
        <f>detail_avancement!B5</f>
        <v>15</v>
      </c>
      <c r="J5" s="9">
        <f t="shared" si="0"/>
        <v>0</v>
      </c>
      <c r="K5" s="10">
        <f t="shared" si="1"/>
        <v>1</v>
      </c>
      <c r="L5" s="11">
        <f t="shared" si="2"/>
        <v>0</v>
      </c>
    </row>
    <row r="6" spans="1:12" ht="12.75" customHeight="1">
      <c r="A6" s="7">
        <v>5</v>
      </c>
      <c r="B6" s="7" t="s">
        <v>14</v>
      </c>
      <c r="C6" s="8" t="s">
        <v>23</v>
      </c>
      <c r="D6" s="12" t="s">
        <v>26</v>
      </c>
      <c r="E6" s="8" t="s">
        <v>27</v>
      </c>
      <c r="F6" s="8" t="s">
        <v>21</v>
      </c>
      <c r="G6" s="7" t="s">
        <v>0</v>
      </c>
      <c r="H6" s="7">
        <v>50</v>
      </c>
      <c r="I6" s="9">
        <f>detail_avancement!B6</f>
        <v>75</v>
      </c>
      <c r="J6" s="9">
        <f t="shared" si="0"/>
        <v>0</v>
      </c>
      <c r="K6" s="10">
        <f t="shared" si="1"/>
        <v>1</v>
      </c>
      <c r="L6" s="11">
        <f t="shared" si="2"/>
        <v>25</v>
      </c>
    </row>
    <row r="7" spans="1:12" ht="12.75" customHeight="1">
      <c r="A7" s="7">
        <v>6</v>
      </c>
      <c r="B7" s="7" t="s">
        <v>14</v>
      </c>
      <c r="C7" s="8" t="s">
        <v>23</v>
      </c>
      <c r="D7" s="12" t="s">
        <v>26</v>
      </c>
      <c r="E7" s="8" t="s">
        <v>28</v>
      </c>
      <c r="F7" s="8" t="s">
        <v>21</v>
      </c>
      <c r="G7" s="7" t="s">
        <v>0</v>
      </c>
      <c r="H7" s="7">
        <v>50</v>
      </c>
      <c r="I7" s="9">
        <f>detail_avancement!B7</f>
        <v>75</v>
      </c>
      <c r="J7" s="9">
        <f t="shared" si="0"/>
        <v>0</v>
      </c>
      <c r="K7" s="10">
        <f t="shared" si="1"/>
        <v>1</v>
      </c>
      <c r="L7" s="11">
        <f t="shared" si="2"/>
        <v>25</v>
      </c>
    </row>
    <row r="8" spans="1:12" ht="12.75" customHeight="1">
      <c r="A8" s="7">
        <v>7</v>
      </c>
      <c r="B8" s="7" t="s">
        <v>14</v>
      </c>
      <c r="C8" s="8" t="s">
        <v>23</v>
      </c>
      <c r="D8" s="12" t="s">
        <v>26</v>
      </c>
      <c r="E8" s="8" t="s">
        <v>29</v>
      </c>
      <c r="F8" s="8" t="s">
        <v>21</v>
      </c>
      <c r="G8" s="7" t="s">
        <v>0</v>
      </c>
      <c r="H8" s="7">
        <v>50</v>
      </c>
      <c r="I8" s="9">
        <f>detail_avancement!B8</f>
        <v>75</v>
      </c>
      <c r="J8" s="9">
        <f t="shared" si="0"/>
        <v>0</v>
      </c>
      <c r="K8" s="10">
        <f t="shared" si="1"/>
        <v>1</v>
      </c>
      <c r="L8" s="11">
        <f t="shared" si="2"/>
        <v>25</v>
      </c>
    </row>
    <row r="9" spans="1:12" ht="12.75" customHeight="1">
      <c r="A9" s="7">
        <v>8</v>
      </c>
      <c r="B9" s="7" t="s">
        <v>14</v>
      </c>
      <c r="C9" s="8" t="s">
        <v>23</v>
      </c>
      <c r="D9" s="12" t="s">
        <v>26</v>
      </c>
      <c r="E9" s="8" t="s">
        <v>30</v>
      </c>
      <c r="F9" s="8" t="s">
        <v>21</v>
      </c>
      <c r="G9" s="7" t="s">
        <v>0</v>
      </c>
      <c r="H9" s="7">
        <v>50</v>
      </c>
      <c r="I9" s="9">
        <f>detail_avancement!B9</f>
        <v>50</v>
      </c>
      <c r="J9" s="9">
        <f t="shared" si="0"/>
        <v>0</v>
      </c>
      <c r="K9" s="10">
        <f t="shared" si="1"/>
        <v>1</v>
      </c>
      <c r="L9" s="11">
        <f t="shared" si="2"/>
        <v>0</v>
      </c>
    </row>
    <row r="10" spans="1:12" ht="12.75" customHeight="1">
      <c r="A10" s="7">
        <v>9</v>
      </c>
      <c r="B10" s="7" t="s">
        <v>14</v>
      </c>
      <c r="C10" s="8" t="s">
        <v>23</v>
      </c>
      <c r="D10" s="12" t="s">
        <v>24</v>
      </c>
      <c r="E10" s="8" t="s">
        <v>22</v>
      </c>
      <c r="F10" s="12" t="s">
        <v>22</v>
      </c>
      <c r="G10" s="7" t="s">
        <v>0</v>
      </c>
      <c r="H10" s="7">
        <v>15</v>
      </c>
      <c r="I10" s="9">
        <f>detail_avancement!B10</f>
        <v>15</v>
      </c>
      <c r="J10" s="9">
        <f t="shared" si="0"/>
        <v>0</v>
      </c>
      <c r="K10" s="10">
        <f t="shared" si="1"/>
        <v>1</v>
      </c>
      <c r="L10" s="11">
        <f t="shared" si="2"/>
        <v>0</v>
      </c>
    </row>
    <row r="11" spans="1:12" ht="12.75" customHeight="1">
      <c r="A11" s="7">
        <v>10</v>
      </c>
      <c r="B11" s="7" t="s">
        <v>14</v>
      </c>
      <c r="C11" s="13" t="s">
        <v>31</v>
      </c>
      <c r="D11" s="13" t="s">
        <v>32</v>
      </c>
      <c r="E11" s="13" t="s">
        <v>33</v>
      </c>
      <c r="F11" s="13" t="s">
        <v>18</v>
      </c>
      <c r="G11" s="7" t="s">
        <v>0</v>
      </c>
      <c r="H11" s="1">
        <v>5</v>
      </c>
      <c r="I11" s="9">
        <f>detail_avancement!B11</f>
        <v>5</v>
      </c>
      <c r="J11" s="9">
        <f t="shared" si="0"/>
        <v>0</v>
      </c>
      <c r="K11" s="10">
        <f t="shared" si="1"/>
        <v>1</v>
      </c>
      <c r="L11" s="11">
        <f t="shared" si="2"/>
        <v>0</v>
      </c>
    </row>
    <row r="12" spans="1:12" ht="12.75" customHeight="1">
      <c r="A12" s="7">
        <v>11</v>
      </c>
      <c r="B12" s="7" t="s">
        <v>14</v>
      </c>
      <c r="C12" s="13" t="s">
        <v>31</v>
      </c>
      <c r="D12" s="13" t="s">
        <v>34</v>
      </c>
      <c r="E12" s="13" t="s">
        <v>35</v>
      </c>
      <c r="F12" s="13" t="s">
        <v>22</v>
      </c>
      <c r="G12" s="7" t="s">
        <v>0</v>
      </c>
      <c r="H12" s="1">
        <v>20</v>
      </c>
      <c r="I12" s="9">
        <f>detail_avancement!B12</f>
        <v>20</v>
      </c>
      <c r="J12" s="9">
        <f t="shared" si="0"/>
        <v>0</v>
      </c>
      <c r="K12" s="10">
        <f t="shared" si="1"/>
        <v>1</v>
      </c>
      <c r="L12" s="11">
        <f t="shared" si="2"/>
        <v>0</v>
      </c>
    </row>
    <row r="13" spans="1:12" ht="12.75" customHeight="1">
      <c r="A13" s="7">
        <v>12</v>
      </c>
      <c r="B13" s="7" t="s">
        <v>14</v>
      </c>
      <c r="C13" s="13" t="s">
        <v>31</v>
      </c>
      <c r="D13" s="13" t="s">
        <v>32</v>
      </c>
      <c r="E13" s="13" t="s">
        <v>22</v>
      </c>
      <c r="F13" s="13" t="s">
        <v>22</v>
      </c>
      <c r="G13" s="7" t="s">
        <v>0</v>
      </c>
      <c r="H13" s="1">
        <v>5</v>
      </c>
      <c r="I13" s="9">
        <f>detail_avancement!B13</f>
        <v>9</v>
      </c>
      <c r="J13" s="9">
        <f t="shared" si="0"/>
        <v>0</v>
      </c>
      <c r="K13" s="10">
        <f t="shared" si="1"/>
        <v>1</v>
      </c>
      <c r="L13" s="11">
        <f t="shared" si="2"/>
        <v>4</v>
      </c>
    </row>
    <row r="14" spans="1:12" ht="12.75" customHeight="1">
      <c r="A14" s="7">
        <v>13</v>
      </c>
      <c r="B14" s="7" t="s">
        <v>14</v>
      </c>
      <c r="C14" s="13" t="s">
        <v>36</v>
      </c>
      <c r="D14" s="13" t="s">
        <v>37</v>
      </c>
      <c r="E14" s="13" t="s">
        <v>38</v>
      </c>
      <c r="F14" s="13" t="s">
        <v>18</v>
      </c>
      <c r="G14" s="7" t="s">
        <v>0</v>
      </c>
      <c r="H14" s="1">
        <v>10</v>
      </c>
      <c r="I14" s="9">
        <f>detail_avancement!B14</f>
        <v>10</v>
      </c>
      <c r="J14" s="9">
        <f t="shared" si="0"/>
        <v>0</v>
      </c>
      <c r="K14" s="10">
        <f t="shared" si="1"/>
        <v>1</v>
      </c>
      <c r="L14" s="11">
        <f t="shared" si="2"/>
        <v>0</v>
      </c>
    </row>
    <row r="15" spans="1:12" ht="12.75" customHeight="1">
      <c r="A15" s="7">
        <v>14</v>
      </c>
      <c r="B15" s="7" t="s">
        <v>14</v>
      </c>
      <c r="C15" s="13" t="s">
        <v>36</v>
      </c>
      <c r="D15" s="13" t="s">
        <v>39</v>
      </c>
      <c r="E15" s="13" t="s">
        <v>40</v>
      </c>
      <c r="F15" s="13" t="s">
        <v>21</v>
      </c>
      <c r="G15" s="7" t="s">
        <v>0</v>
      </c>
      <c r="H15" s="1">
        <v>10</v>
      </c>
      <c r="I15" s="9">
        <f>detail_avancement!B15</f>
        <v>50</v>
      </c>
      <c r="J15" s="9">
        <f t="shared" si="0"/>
        <v>0</v>
      </c>
      <c r="K15" s="10">
        <f t="shared" si="1"/>
        <v>1</v>
      </c>
      <c r="L15" s="11">
        <f t="shared" si="2"/>
        <v>40</v>
      </c>
    </row>
    <row r="16" spans="1:12" ht="12.75" customHeight="1">
      <c r="A16" s="7">
        <v>15</v>
      </c>
      <c r="B16" s="7" t="s">
        <v>14</v>
      </c>
      <c r="C16" s="13" t="s">
        <v>36</v>
      </c>
      <c r="D16" s="13" t="s">
        <v>39</v>
      </c>
      <c r="E16" s="13" t="s">
        <v>41</v>
      </c>
      <c r="F16" s="13" t="s">
        <v>21</v>
      </c>
      <c r="G16" s="7" t="s">
        <v>0</v>
      </c>
      <c r="H16" s="1">
        <v>10</v>
      </c>
      <c r="I16" s="9">
        <f>detail_avancement!B16</f>
        <v>20</v>
      </c>
      <c r="J16" s="9">
        <f t="shared" si="0"/>
        <v>0</v>
      </c>
      <c r="K16" s="10">
        <f t="shared" si="1"/>
        <v>1</v>
      </c>
      <c r="L16" s="11">
        <f t="shared" si="2"/>
        <v>10</v>
      </c>
    </row>
    <row r="17" spans="1:12" ht="12.75" customHeight="1">
      <c r="A17" s="7">
        <v>16</v>
      </c>
      <c r="B17" s="7" t="s">
        <v>14</v>
      </c>
      <c r="C17" s="13" t="s">
        <v>36</v>
      </c>
      <c r="D17" s="13" t="s">
        <v>37</v>
      </c>
      <c r="E17" s="13" t="s">
        <v>22</v>
      </c>
      <c r="F17" s="13" t="s">
        <v>22</v>
      </c>
      <c r="G17" s="7" t="s">
        <v>0</v>
      </c>
      <c r="H17" s="1">
        <v>5</v>
      </c>
      <c r="I17" s="9">
        <f>detail_avancement!B17</f>
        <v>5</v>
      </c>
      <c r="J17" s="9">
        <f t="shared" si="0"/>
        <v>0</v>
      </c>
      <c r="K17" s="10">
        <f t="shared" si="1"/>
        <v>1</v>
      </c>
      <c r="L17" s="11">
        <f t="shared" si="2"/>
        <v>0</v>
      </c>
    </row>
    <row r="18" spans="1:12" ht="12.75" customHeight="1">
      <c r="A18" s="7">
        <v>17</v>
      </c>
      <c r="B18" s="7" t="s">
        <v>14</v>
      </c>
      <c r="C18" s="13" t="s">
        <v>42</v>
      </c>
      <c r="D18" s="13" t="s">
        <v>43</v>
      </c>
      <c r="E18" s="13" t="s">
        <v>44</v>
      </c>
      <c r="F18" s="13" t="s">
        <v>18</v>
      </c>
      <c r="G18" s="7" t="s">
        <v>0</v>
      </c>
      <c r="H18" s="1">
        <v>10</v>
      </c>
      <c r="I18" s="9">
        <f>detail_avancement!B18</f>
        <v>10</v>
      </c>
      <c r="J18" s="9">
        <f t="shared" si="0"/>
        <v>0</v>
      </c>
      <c r="K18" s="10">
        <f t="shared" si="1"/>
        <v>1</v>
      </c>
      <c r="L18" s="11">
        <f t="shared" si="2"/>
        <v>0</v>
      </c>
    </row>
    <row r="19" spans="1:12" ht="12.75" customHeight="1">
      <c r="A19" s="7">
        <v>18</v>
      </c>
      <c r="B19" s="7" t="s">
        <v>14</v>
      </c>
      <c r="C19" s="13" t="s">
        <v>42</v>
      </c>
      <c r="D19" s="13" t="s">
        <v>45</v>
      </c>
      <c r="E19" s="13" t="s">
        <v>46</v>
      </c>
      <c r="F19" s="13" t="s">
        <v>21</v>
      </c>
      <c r="G19" s="7" t="s">
        <v>0</v>
      </c>
      <c r="H19" s="1">
        <v>10</v>
      </c>
      <c r="I19" s="9">
        <f>detail_avancement!B19</f>
        <v>10</v>
      </c>
      <c r="J19" s="9">
        <f t="shared" si="0"/>
        <v>0</v>
      </c>
      <c r="K19" s="10">
        <f t="shared" si="1"/>
        <v>1</v>
      </c>
      <c r="L19" s="11">
        <f t="shared" si="2"/>
        <v>0</v>
      </c>
    </row>
    <row r="20" spans="1:12" ht="12.75" customHeight="1">
      <c r="A20" s="7">
        <v>19</v>
      </c>
      <c r="B20" s="7" t="s">
        <v>14</v>
      </c>
      <c r="C20" s="13" t="s">
        <v>42</v>
      </c>
      <c r="D20" s="13" t="s">
        <v>43</v>
      </c>
      <c r="E20" s="13" t="s">
        <v>22</v>
      </c>
      <c r="F20" s="13" t="s">
        <v>22</v>
      </c>
      <c r="G20" s="7" t="s">
        <v>0</v>
      </c>
      <c r="H20" s="1">
        <v>5</v>
      </c>
      <c r="I20" s="9">
        <f>detail_avancement!B20</f>
        <v>5</v>
      </c>
      <c r="J20" s="9">
        <f t="shared" si="0"/>
        <v>0</v>
      </c>
      <c r="K20" s="10">
        <f t="shared" si="1"/>
        <v>1</v>
      </c>
      <c r="L20" s="11">
        <f t="shared" si="2"/>
        <v>0</v>
      </c>
    </row>
    <row r="21" spans="1:12" ht="15.75" customHeight="1">
      <c r="A21" s="7">
        <v>20</v>
      </c>
      <c r="B21" s="7" t="s">
        <v>14</v>
      </c>
      <c r="C21" s="13" t="s">
        <v>42</v>
      </c>
      <c r="D21" s="13" t="s">
        <v>47</v>
      </c>
      <c r="E21" s="13" t="s">
        <v>48</v>
      </c>
      <c r="F21" s="13" t="s">
        <v>18</v>
      </c>
      <c r="G21" s="7" t="s">
        <v>0</v>
      </c>
      <c r="H21" s="13">
        <v>10</v>
      </c>
      <c r="I21" s="9">
        <f>detail_avancement!B21</f>
        <v>20</v>
      </c>
      <c r="J21" s="9">
        <f t="shared" si="0"/>
        <v>0</v>
      </c>
      <c r="K21" s="10">
        <f t="shared" si="1"/>
        <v>1</v>
      </c>
      <c r="L21" s="11">
        <f t="shared" si="2"/>
        <v>10</v>
      </c>
    </row>
    <row r="22" spans="1:12" ht="15.75" customHeight="1">
      <c r="A22" s="7">
        <v>21</v>
      </c>
      <c r="B22" s="7" t="s">
        <v>14</v>
      </c>
      <c r="C22" s="13" t="s">
        <v>42</v>
      </c>
      <c r="D22" s="13" t="s">
        <v>45</v>
      </c>
      <c r="E22" s="13" t="s">
        <v>49</v>
      </c>
      <c r="F22" s="13" t="s">
        <v>21</v>
      </c>
      <c r="G22" s="7" t="s">
        <v>0</v>
      </c>
      <c r="H22" s="13">
        <v>10</v>
      </c>
      <c r="I22" s="9">
        <f>detail_avancement!B22</f>
        <v>10</v>
      </c>
      <c r="J22" s="9">
        <f t="shared" si="0"/>
        <v>0</v>
      </c>
      <c r="K22" s="10">
        <f t="shared" si="1"/>
        <v>1</v>
      </c>
      <c r="L22" s="11">
        <f t="shared" si="2"/>
        <v>0</v>
      </c>
    </row>
    <row r="23" spans="1:12" ht="15.75" customHeight="1">
      <c r="A23" s="7">
        <v>22</v>
      </c>
      <c r="B23" s="7" t="s">
        <v>14</v>
      </c>
      <c r="C23" s="13" t="s">
        <v>42</v>
      </c>
      <c r="D23" s="13" t="s">
        <v>47</v>
      </c>
      <c r="E23" s="13" t="s">
        <v>22</v>
      </c>
      <c r="F23" s="13" t="s">
        <v>22</v>
      </c>
      <c r="G23" s="7" t="s">
        <v>0</v>
      </c>
      <c r="H23" s="13">
        <v>5</v>
      </c>
      <c r="I23" s="9">
        <f>detail_avancement!B23</f>
        <v>25</v>
      </c>
      <c r="J23" s="9">
        <f t="shared" si="0"/>
        <v>0</v>
      </c>
      <c r="K23" s="10">
        <f t="shared" si="1"/>
        <v>1</v>
      </c>
      <c r="L23" s="11">
        <f t="shared" si="2"/>
        <v>20</v>
      </c>
    </row>
    <row r="24" spans="1:12" ht="15.75" customHeight="1">
      <c r="A24" s="7">
        <v>23</v>
      </c>
      <c r="B24" s="14" t="s">
        <v>50</v>
      </c>
      <c r="C24" s="13" t="s">
        <v>51</v>
      </c>
      <c r="D24" s="13" t="s">
        <v>52</v>
      </c>
      <c r="E24" s="13" t="s">
        <v>53</v>
      </c>
      <c r="F24" s="13" t="s">
        <v>18</v>
      </c>
      <c r="G24" s="7" t="s">
        <v>0</v>
      </c>
      <c r="H24" s="13">
        <v>15</v>
      </c>
      <c r="I24" s="9">
        <f>detail_avancement!B24</f>
        <v>5</v>
      </c>
      <c r="J24" s="9">
        <f t="shared" si="0"/>
        <v>10</v>
      </c>
      <c r="K24" s="10">
        <f t="shared" si="1"/>
        <v>0.33333333333333331</v>
      </c>
      <c r="L24" s="11">
        <f t="shared" si="2"/>
        <v>0</v>
      </c>
    </row>
    <row r="25" spans="1:12" ht="15.75" customHeight="1">
      <c r="A25" s="7">
        <v>24</v>
      </c>
      <c r="B25" s="14" t="s">
        <v>50</v>
      </c>
      <c r="C25" s="13" t="s">
        <v>51</v>
      </c>
      <c r="D25" s="13" t="s">
        <v>54</v>
      </c>
      <c r="E25" s="13" t="s">
        <v>55</v>
      </c>
      <c r="F25" s="13" t="s">
        <v>21</v>
      </c>
      <c r="G25" s="7" t="s">
        <v>0</v>
      </c>
      <c r="H25" s="13">
        <v>15</v>
      </c>
      <c r="I25" s="9">
        <f>detail_avancement!B25</f>
        <v>15</v>
      </c>
      <c r="J25" s="9">
        <f t="shared" si="0"/>
        <v>0</v>
      </c>
      <c r="K25" s="10">
        <f t="shared" si="1"/>
        <v>1</v>
      </c>
      <c r="L25" s="11">
        <f t="shared" si="2"/>
        <v>0</v>
      </c>
    </row>
    <row r="26" spans="1:12" ht="15.75" customHeight="1">
      <c r="A26" s="7">
        <v>25</v>
      </c>
      <c r="B26" s="14" t="s">
        <v>50</v>
      </c>
      <c r="C26" s="13" t="s">
        <v>51</v>
      </c>
      <c r="D26" s="13" t="s">
        <v>52</v>
      </c>
      <c r="E26" s="13" t="s">
        <v>22</v>
      </c>
      <c r="F26" s="13" t="s">
        <v>22</v>
      </c>
      <c r="G26" s="7" t="s">
        <v>0</v>
      </c>
      <c r="H26" s="13">
        <v>10</v>
      </c>
      <c r="I26" s="9">
        <f>detail_avancement!B26</f>
        <v>5</v>
      </c>
      <c r="J26" s="9">
        <f t="shared" si="0"/>
        <v>5</v>
      </c>
      <c r="K26" s="10">
        <f t="shared" si="1"/>
        <v>0.5</v>
      </c>
      <c r="L26" s="11">
        <f t="shared" si="2"/>
        <v>0</v>
      </c>
    </row>
    <row r="27" spans="1:12" ht="15.75" customHeight="1">
      <c r="A27" s="7">
        <v>26</v>
      </c>
      <c r="B27" s="14" t="s">
        <v>50</v>
      </c>
      <c r="C27" s="13" t="s">
        <v>51</v>
      </c>
      <c r="D27" s="13" t="s">
        <v>52</v>
      </c>
      <c r="E27" s="13" t="s">
        <v>56</v>
      </c>
      <c r="F27" s="13" t="s">
        <v>18</v>
      </c>
      <c r="G27" s="7" t="s">
        <v>0</v>
      </c>
      <c r="H27" s="13">
        <v>5</v>
      </c>
      <c r="I27" s="9">
        <f>detail_avancement!B27</f>
        <v>0</v>
      </c>
      <c r="J27" s="9">
        <f t="shared" si="0"/>
        <v>5</v>
      </c>
      <c r="K27" s="10">
        <f t="shared" si="1"/>
        <v>0</v>
      </c>
      <c r="L27" s="11">
        <f t="shared" si="2"/>
        <v>0</v>
      </c>
    </row>
    <row r="28" spans="1:12" ht="15.75" customHeight="1">
      <c r="A28" s="7">
        <v>27</v>
      </c>
      <c r="B28" s="14" t="s">
        <v>50</v>
      </c>
      <c r="C28" s="13" t="s">
        <v>51</v>
      </c>
      <c r="D28" s="13" t="s">
        <v>54</v>
      </c>
      <c r="E28" s="13" t="s">
        <v>57</v>
      </c>
      <c r="F28" s="13" t="s">
        <v>21</v>
      </c>
      <c r="G28" s="7" t="s">
        <v>0</v>
      </c>
      <c r="H28" s="13">
        <v>25</v>
      </c>
      <c r="I28" s="9">
        <f>detail_avancement!B28</f>
        <v>0</v>
      </c>
      <c r="J28" s="9">
        <f t="shared" si="0"/>
        <v>25</v>
      </c>
      <c r="K28" s="10">
        <f t="shared" si="1"/>
        <v>0</v>
      </c>
      <c r="L28" s="11">
        <f t="shared" si="2"/>
        <v>0</v>
      </c>
    </row>
    <row r="29" spans="1:12" ht="15.75" customHeight="1">
      <c r="A29" s="7">
        <v>28</v>
      </c>
      <c r="B29" s="14" t="s">
        <v>50</v>
      </c>
      <c r="C29" s="13" t="s">
        <v>51</v>
      </c>
      <c r="D29" s="13" t="s">
        <v>52</v>
      </c>
      <c r="E29" s="13" t="s">
        <v>22</v>
      </c>
      <c r="F29" s="13" t="s">
        <v>22</v>
      </c>
      <c r="G29" s="7" t="s">
        <v>0</v>
      </c>
      <c r="H29" s="13">
        <v>5</v>
      </c>
      <c r="I29" s="9">
        <f>detail_avancement!B29</f>
        <v>0</v>
      </c>
      <c r="J29" s="9">
        <f t="shared" si="0"/>
        <v>5</v>
      </c>
      <c r="K29" s="10">
        <f t="shared" si="1"/>
        <v>0</v>
      </c>
      <c r="L29" s="11">
        <f t="shared" si="2"/>
        <v>0</v>
      </c>
    </row>
    <row r="30" spans="1:12" ht="15.75" customHeight="1">
      <c r="A30" s="7">
        <v>29</v>
      </c>
      <c r="B30" s="14" t="s">
        <v>50</v>
      </c>
      <c r="C30" s="13" t="s">
        <v>42</v>
      </c>
      <c r="D30" s="13" t="s">
        <v>58</v>
      </c>
      <c r="E30" s="13" t="s">
        <v>59</v>
      </c>
      <c r="F30" s="13" t="s">
        <v>18</v>
      </c>
      <c r="G30" s="7" t="s">
        <v>0</v>
      </c>
      <c r="H30" s="13">
        <v>20</v>
      </c>
      <c r="I30" s="9">
        <f>detail_avancement!B30</f>
        <v>20</v>
      </c>
      <c r="J30" s="9">
        <f t="shared" si="0"/>
        <v>0</v>
      </c>
      <c r="K30" s="10">
        <f t="shared" si="1"/>
        <v>1</v>
      </c>
      <c r="L30" s="11">
        <f t="shared" si="2"/>
        <v>0</v>
      </c>
    </row>
    <row r="31" spans="1:12" ht="15.75" customHeight="1">
      <c r="A31" s="7">
        <v>30</v>
      </c>
      <c r="B31" s="14" t="s">
        <v>50</v>
      </c>
      <c r="C31" s="13" t="s">
        <v>42</v>
      </c>
      <c r="D31" s="13" t="s">
        <v>45</v>
      </c>
      <c r="E31" s="13" t="s">
        <v>60</v>
      </c>
      <c r="F31" s="13" t="s">
        <v>21</v>
      </c>
      <c r="G31" s="7" t="s">
        <v>0</v>
      </c>
      <c r="H31" s="13">
        <v>20</v>
      </c>
      <c r="I31" s="9">
        <f>detail_avancement!B31</f>
        <v>20</v>
      </c>
      <c r="J31" s="9">
        <f t="shared" si="0"/>
        <v>0</v>
      </c>
      <c r="K31" s="10">
        <f t="shared" si="1"/>
        <v>1</v>
      </c>
      <c r="L31" s="11">
        <f t="shared" si="2"/>
        <v>0</v>
      </c>
    </row>
    <row r="32" spans="1:12" ht="15.75" customHeight="1">
      <c r="A32" s="7">
        <v>31</v>
      </c>
      <c r="B32" s="14" t="s">
        <v>50</v>
      </c>
      <c r="C32" s="13" t="s">
        <v>42</v>
      </c>
      <c r="D32" s="13" t="s">
        <v>58</v>
      </c>
      <c r="E32" s="13" t="s">
        <v>22</v>
      </c>
      <c r="F32" s="13" t="s">
        <v>22</v>
      </c>
      <c r="G32" s="7" t="s">
        <v>0</v>
      </c>
      <c r="H32" s="13">
        <v>15</v>
      </c>
      <c r="I32" s="9">
        <f>detail_avancement!B32</f>
        <v>15</v>
      </c>
      <c r="J32" s="9">
        <f t="shared" si="0"/>
        <v>0</v>
      </c>
      <c r="K32" s="10">
        <f t="shared" si="1"/>
        <v>1</v>
      </c>
      <c r="L32" s="11">
        <f t="shared" si="2"/>
        <v>0</v>
      </c>
    </row>
    <row r="33" spans="1:12" ht="15.75" customHeight="1">
      <c r="A33" s="7">
        <v>32</v>
      </c>
      <c r="B33" s="48" t="s">
        <v>50</v>
      </c>
      <c r="C33" s="13" t="s">
        <v>42</v>
      </c>
      <c r="D33" s="13" t="s">
        <v>74</v>
      </c>
      <c r="E33" s="13" t="s">
        <v>75</v>
      </c>
      <c r="F33" s="13" t="s">
        <v>18</v>
      </c>
      <c r="G33" s="7" t="s">
        <v>0</v>
      </c>
      <c r="H33" s="13">
        <v>25</v>
      </c>
      <c r="I33" s="9">
        <f>detail_avancement!B33</f>
        <v>0</v>
      </c>
      <c r="J33" s="9">
        <f t="shared" si="0"/>
        <v>25</v>
      </c>
      <c r="K33" s="10">
        <f t="shared" si="1"/>
        <v>0</v>
      </c>
      <c r="L33" s="11">
        <f t="shared" si="2"/>
        <v>0</v>
      </c>
    </row>
    <row r="34" spans="1:12" ht="15.75" customHeight="1">
      <c r="A34" s="7">
        <v>33</v>
      </c>
      <c r="B34" s="48" t="s">
        <v>50</v>
      </c>
      <c r="C34" s="13" t="s">
        <v>42</v>
      </c>
      <c r="D34" s="13" t="s">
        <v>45</v>
      </c>
      <c r="E34" s="13" t="s">
        <v>44</v>
      </c>
      <c r="F34" s="13" t="s">
        <v>21</v>
      </c>
      <c r="G34" s="7" t="s">
        <v>0</v>
      </c>
      <c r="H34" s="49">
        <v>10</v>
      </c>
      <c r="I34" s="9">
        <f>detail_avancement!B34</f>
        <v>0</v>
      </c>
      <c r="J34" s="9">
        <f t="shared" si="0"/>
        <v>10</v>
      </c>
      <c r="K34" s="10">
        <f t="shared" si="1"/>
        <v>0</v>
      </c>
      <c r="L34" s="11">
        <f t="shared" si="2"/>
        <v>0</v>
      </c>
    </row>
    <row r="35" spans="1:12" ht="15.75" customHeight="1">
      <c r="A35" s="7">
        <v>34</v>
      </c>
      <c r="B35" s="48" t="s">
        <v>50</v>
      </c>
      <c r="C35" s="13" t="s">
        <v>42</v>
      </c>
      <c r="D35" s="13" t="s">
        <v>45</v>
      </c>
      <c r="E35" s="13" t="s">
        <v>76</v>
      </c>
      <c r="F35" s="13" t="s">
        <v>21</v>
      </c>
      <c r="G35" s="50" t="s">
        <v>0</v>
      </c>
      <c r="H35" s="49">
        <v>15</v>
      </c>
      <c r="I35" s="9">
        <f>detail_avancement!B35</f>
        <v>0</v>
      </c>
      <c r="J35" s="9">
        <f t="shared" si="0"/>
        <v>15</v>
      </c>
      <c r="K35" s="10">
        <f t="shared" si="1"/>
        <v>0</v>
      </c>
      <c r="L35" s="11">
        <f t="shared" si="2"/>
        <v>0</v>
      </c>
    </row>
    <row r="36" spans="1:12" ht="15.75" customHeight="1">
      <c r="A36" s="7">
        <v>35</v>
      </c>
      <c r="B36" s="48" t="s">
        <v>50</v>
      </c>
      <c r="C36" s="49" t="s">
        <v>42</v>
      </c>
      <c r="D36" s="13" t="s">
        <v>74</v>
      </c>
      <c r="E36" s="13" t="s">
        <v>77</v>
      </c>
      <c r="F36" s="13" t="s">
        <v>18</v>
      </c>
      <c r="G36" s="50" t="s">
        <v>0</v>
      </c>
      <c r="H36" s="49">
        <v>5</v>
      </c>
      <c r="I36" s="9">
        <f>detail_avancement!B36</f>
        <v>0</v>
      </c>
      <c r="J36" s="9">
        <f t="shared" si="0"/>
        <v>5</v>
      </c>
      <c r="K36" s="10">
        <f t="shared" si="1"/>
        <v>0</v>
      </c>
      <c r="L36" s="11">
        <f t="shared" si="2"/>
        <v>0</v>
      </c>
    </row>
    <row r="37" spans="1:12" ht="15.75" customHeight="1">
      <c r="A37" s="7">
        <v>36</v>
      </c>
      <c r="B37" s="48" t="s">
        <v>50</v>
      </c>
      <c r="C37" s="49" t="s">
        <v>42</v>
      </c>
      <c r="D37" s="13" t="s">
        <v>78</v>
      </c>
      <c r="E37" s="13" t="s">
        <v>79</v>
      </c>
      <c r="F37" s="13" t="s">
        <v>18</v>
      </c>
      <c r="G37" s="50" t="s">
        <v>0</v>
      </c>
      <c r="H37" s="49">
        <v>15</v>
      </c>
      <c r="I37" s="9">
        <f>detail_avancement!B37</f>
        <v>0</v>
      </c>
      <c r="J37" s="9">
        <f t="shared" si="0"/>
        <v>15</v>
      </c>
      <c r="K37" s="10">
        <f t="shared" si="1"/>
        <v>0</v>
      </c>
      <c r="L37" s="11">
        <f t="shared" si="2"/>
        <v>0</v>
      </c>
    </row>
    <row r="38" spans="1:12" ht="15.75" customHeight="1">
      <c r="A38" s="7">
        <v>37</v>
      </c>
      <c r="B38" s="48" t="s">
        <v>50</v>
      </c>
      <c r="C38" s="49" t="s">
        <v>42</v>
      </c>
      <c r="D38" s="13" t="s">
        <v>45</v>
      </c>
      <c r="E38" s="13" t="s">
        <v>80</v>
      </c>
      <c r="F38" s="13" t="s">
        <v>21</v>
      </c>
      <c r="G38" s="50" t="s">
        <v>0</v>
      </c>
      <c r="H38" s="49">
        <v>15</v>
      </c>
      <c r="I38" s="9">
        <f>detail_avancement!B38</f>
        <v>0</v>
      </c>
      <c r="J38" s="9">
        <f t="shared" si="0"/>
        <v>15</v>
      </c>
      <c r="K38" s="10">
        <f t="shared" si="1"/>
        <v>0</v>
      </c>
      <c r="L38" s="11">
        <f t="shared" si="2"/>
        <v>0</v>
      </c>
    </row>
    <row r="39" spans="1:12" ht="15.75" customHeight="1">
      <c r="A39" s="7">
        <v>38</v>
      </c>
      <c r="B39" s="48" t="s">
        <v>50</v>
      </c>
      <c r="C39" s="49" t="s">
        <v>42</v>
      </c>
      <c r="D39" s="13" t="s">
        <v>74</v>
      </c>
      <c r="E39" s="13" t="s">
        <v>22</v>
      </c>
      <c r="F39" s="13" t="s">
        <v>22</v>
      </c>
      <c r="G39" s="50" t="s">
        <v>0</v>
      </c>
      <c r="H39" s="49">
        <v>15</v>
      </c>
      <c r="I39" s="9">
        <f>detail_avancement!B39</f>
        <v>0</v>
      </c>
      <c r="J39" s="9">
        <f t="shared" si="0"/>
        <v>15</v>
      </c>
      <c r="K39" s="10">
        <f t="shared" si="1"/>
        <v>0</v>
      </c>
      <c r="L39" s="11">
        <f t="shared" si="2"/>
        <v>0</v>
      </c>
    </row>
    <row r="40" spans="1:12" ht="15.75" customHeight="1">
      <c r="A40" s="7">
        <v>39</v>
      </c>
      <c r="B40" s="48" t="s">
        <v>50</v>
      </c>
      <c r="C40" s="49" t="s">
        <v>42</v>
      </c>
      <c r="D40" s="13" t="s">
        <v>78</v>
      </c>
      <c r="E40" s="13" t="s">
        <v>22</v>
      </c>
      <c r="F40" s="13" t="s">
        <v>22</v>
      </c>
      <c r="G40" s="50" t="s">
        <v>0</v>
      </c>
      <c r="H40" s="49">
        <v>15</v>
      </c>
      <c r="I40" s="9">
        <f>detail_avancement!B40</f>
        <v>0</v>
      </c>
      <c r="J40" s="9">
        <f t="shared" si="0"/>
        <v>15</v>
      </c>
      <c r="K40" s="10">
        <f t="shared" si="1"/>
        <v>0</v>
      </c>
      <c r="L40" s="11">
        <f t="shared" si="2"/>
        <v>0</v>
      </c>
    </row>
    <row r="41" spans="1:12" ht="15.75" customHeight="1">
      <c r="A41" s="7">
        <v>40</v>
      </c>
      <c r="B41" s="48" t="s">
        <v>50</v>
      </c>
      <c r="C41" s="49" t="s">
        <v>42</v>
      </c>
      <c r="D41" s="13" t="s">
        <v>74</v>
      </c>
      <c r="E41" s="13" t="s">
        <v>81</v>
      </c>
      <c r="F41" s="13" t="s">
        <v>18</v>
      </c>
      <c r="G41" s="50" t="s">
        <v>0</v>
      </c>
      <c r="H41" s="49">
        <v>5</v>
      </c>
      <c r="I41" s="9">
        <f>detail_avancement!B41</f>
        <v>0</v>
      </c>
      <c r="J41" s="9">
        <f t="shared" si="0"/>
        <v>5</v>
      </c>
      <c r="K41" s="10">
        <f t="shared" si="1"/>
        <v>0</v>
      </c>
      <c r="L41" s="11">
        <f t="shared" si="2"/>
        <v>0</v>
      </c>
    </row>
    <row r="42" spans="1:12" ht="15.75" customHeight="1">
      <c r="A42" s="7">
        <v>41</v>
      </c>
      <c r="B42" s="48" t="s">
        <v>50</v>
      </c>
      <c r="C42" s="49" t="s">
        <v>42</v>
      </c>
      <c r="D42" s="13" t="s">
        <v>45</v>
      </c>
      <c r="E42" s="13" t="s">
        <v>82</v>
      </c>
      <c r="F42" s="13" t="s">
        <v>21</v>
      </c>
      <c r="G42" s="50" t="s">
        <v>0</v>
      </c>
      <c r="H42" s="49">
        <v>10</v>
      </c>
      <c r="I42" s="9">
        <f>detail_avancement!B42</f>
        <v>0</v>
      </c>
      <c r="J42" s="9">
        <f t="shared" si="0"/>
        <v>10</v>
      </c>
      <c r="K42" s="10">
        <f t="shared" si="1"/>
        <v>0</v>
      </c>
      <c r="L42" s="11">
        <f t="shared" si="2"/>
        <v>0</v>
      </c>
    </row>
    <row r="43" spans="1:12" ht="15.75" customHeight="1">
      <c r="A43" s="7">
        <v>42</v>
      </c>
      <c r="B43" s="48" t="s">
        <v>50</v>
      </c>
      <c r="C43" s="49" t="s">
        <v>42</v>
      </c>
      <c r="D43" s="13" t="s">
        <v>74</v>
      </c>
      <c r="E43" s="13" t="s">
        <v>22</v>
      </c>
      <c r="F43" s="13" t="s">
        <v>22</v>
      </c>
      <c r="G43" s="50" t="s">
        <v>0</v>
      </c>
      <c r="H43" s="13">
        <v>10</v>
      </c>
      <c r="I43" s="9">
        <f>detail_avancement!B43</f>
        <v>0</v>
      </c>
      <c r="J43" s="9">
        <f t="shared" si="0"/>
        <v>10</v>
      </c>
      <c r="K43" s="10">
        <f t="shared" si="1"/>
        <v>0</v>
      </c>
      <c r="L43" s="11">
        <f t="shared" si="2"/>
        <v>0</v>
      </c>
    </row>
    <row r="44" spans="1:12" ht="15.75" customHeight="1">
      <c r="A44" s="7">
        <v>43</v>
      </c>
      <c r="B44" s="48" t="s">
        <v>14</v>
      </c>
      <c r="C44" s="49" t="s">
        <v>42</v>
      </c>
      <c r="D44" s="13" t="s">
        <v>83</v>
      </c>
      <c r="E44" s="13" t="s">
        <v>84</v>
      </c>
      <c r="F44" s="13" t="s">
        <v>18</v>
      </c>
      <c r="G44" s="50" t="s">
        <v>0</v>
      </c>
      <c r="H44" s="13">
        <v>15</v>
      </c>
      <c r="I44" s="9">
        <f>detail_avancement!B44</f>
        <v>0</v>
      </c>
      <c r="J44" s="9">
        <f t="shared" si="0"/>
        <v>15</v>
      </c>
      <c r="K44" s="10">
        <f t="shared" si="1"/>
        <v>0</v>
      </c>
      <c r="L44" s="11">
        <f t="shared" si="2"/>
        <v>0</v>
      </c>
    </row>
    <row r="45" spans="1:12" ht="15.75" customHeight="1">
      <c r="A45" s="7">
        <v>44</v>
      </c>
      <c r="B45" s="48" t="s">
        <v>14</v>
      </c>
      <c r="C45" s="49" t="s">
        <v>42</v>
      </c>
      <c r="D45" s="13" t="s">
        <v>45</v>
      </c>
      <c r="E45" s="13" t="s">
        <v>85</v>
      </c>
      <c r="F45" s="13" t="s">
        <v>21</v>
      </c>
      <c r="G45" s="50" t="s">
        <v>0</v>
      </c>
      <c r="H45" s="13">
        <v>15</v>
      </c>
      <c r="I45" s="9">
        <f>detail_avancement!B45</f>
        <v>0</v>
      </c>
      <c r="J45" s="9">
        <f t="shared" si="0"/>
        <v>15</v>
      </c>
      <c r="K45" s="10">
        <f t="shared" si="1"/>
        <v>0</v>
      </c>
      <c r="L45" s="11">
        <f t="shared" si="2"/>
        <v>0</v>
      </c>
    </row>
    <row r="46" spans="1:12" ht="15.75" customHeight="1">
      <c r="A46" s="7">
        <v>45</v>
      </c>
      <c r="B46" s="48" t="s">
        <v>14</v>
      </c>
      <c r="C46" s="49" t="s">
        <v>42</v>
      </c>
      <c r="D46" s="13" t="s">
        <v>83</v>
      </c>
      <c r="E46" s="13" t="s">
        <v>22</v>
      </c>
      <c r="F46" s="13" t="s">
        <v>22</v>
      </c>
      <c r="G46" s="50" t="s">
        <v>0</v>
      </c>
      <c r="H46" s="13">
        <v>15</v>
      </c>
      <c r="I46" s="9">
        <f>detail_avancement!B46</f>
        <v>0</v>
      </c>
      <c r="J46" s="9">
        <f t="shared" si="0"/>
        <v>15</v>
      </c>
      <c r="K46" s="10">
        <f t="shared" si="1"/>
        <v>0</v>
      </c>
      <c r="L46" s="11">
        <f t="shared" si="2"/>
        <v>0</v>
      </c>
    </row>
    <row r="47" spans="1:12" ht="15.75" customHeight="1">
      <c r="A47" s="7">
        <v>46</v>
      </c>
      <c r="B47" s="51" t="s">
        <v>50</v>
      </c>
      <c r="C47" s="49" t="s">
        <v>42</v>
      </c>
      <c r="D47" s="13" t="s">
        <v>74</v>
      </c>
      <c r="E47" s="13" t="s">
        <v>86</v>
      </c>
      <c r="F47" s="13" t="s">
        <v>18</v>
      </c>
      <c r="G47" s="50" t="s">
        <v>0</v>
      </c>
      <c r="H47" s="13">
        <v>15</v>
      </c>
      <c r="I47" s="9">
        <f>detail_avancement!B47</f>
        <v>0</v>
      </c>
      <c r="J47" s="9">
        <f t="shared" si="0"/>
        <v>15</v>
      </c>
      <c r="K47" s="10">
        <f t="shared" si="1"/>
        <v>0</v>
      </c>
      <c r="L47" s="11">
        <f t="shared" si="2"/>
        <v>0</v>
      </c>
    </row>
    <row r="48" spans="1:12" ht="15.75" customHeight="1">
      <c r="A48" s="7">
        <v>47</v>
      </c>
      <c r="B48" s="51" t="s">
        <v>14</v>
      </c>
      <c r="C48" s="49" t="s">
        <v>42</v>
      </c>
      <c r="D48" s="13" t="s">
        <v>87</v>
      </c>
      <c r="E48" s="13" t="s">
        <v>88</v>
      </c>
      <c r="F48" s="13" t="s">
        <v>18</v>
      </c>
      <c r="G48" s="50" t="s">
        <v>0</v>
      </c>
      <c r="H48" s="13">
        <v>10</v>
      </c>
      <c r="I48" s="9">
        <f>detail_avancement!B48</f>
        <v>0</v>
      </c>
      <c r="J48" s="9">
        <f t="shared" si="0"/>
        <v>10</v>
      </c>
      <c r="K48" s="10">
        <f t="shared" si="1"/>
        <v>0</v>
      </c>
      <c r="L48" s="11">
        <f t="shared" si="2"/>
        <v>0</v>
      </c>
    </row>
    <row r="49" spans="1:12" ht="15.75" customHeight="1">
      <c r="A49" s="7">
        <v>48</v>
      </c>
      <c r="B49" s="51" t="s">
        <v>14</v>
      </c>
      <c r="C49" s="49" t="s">
        <v>42</v>
      </c>
      <c r="D49" s="13" t="s">
        <v>45</v>
      </c>
      <c r="E49" s="13" t="s">
        <v>89</v>
      </c>
      <c r="F49" s="13" t="s">
        <v>21</v>
      </c>
      <c r="G49" s="50" t="s">
        <v>0</v>
      </c>
      <c r="H49" s="13">
        <v>20</v>
      </c>
      <c r="I49" s="9">
        <f>detail_avancement!B49</f>
        <v>0</v>
      </c>
      <c r="J49" s="9">
        <f t="shared" si="0"/>
        <v>20</v>
      </c>
      <c r="K49" s="10">
        <f t="shared" si="1"/>
        <v>0</v>
      </c>
      <c r="L49" s="11">
        <f t="shared" si="2"/>
        <v>0</v>
      </c>
    </row>
    <row r="50" spans="1:12" ht="15.75" customHeight="1">
      <c r="A50" s="7">
        <v>49</v>
      </c>
      <c r="B50" s="51" t="s">
        <v>14</v>
      </c>
      <c r="C50" s="49" t="s">
        <v>42</v>
      </c>
      <c r="D50" s="13" t="s">
        <v>87</v>
      </c>
      <c r="E50" s="13" t="s">
        <v>22</v>
      </c>
      <c r="F50" s="13" t="s">
        <v>22</v>
      </c>
      <c r="G50" s="50" t="s">
        <v>0</v>
      </c>
      <c r="H50" s="13">
        <v>20</v>
      </c>
      <c r="I50" s="9">
        <f>detail_avancement!B50</f>
        <v>0</v>
      </c>
      <c r="J50" s="9">
        <f t="shared" si="0"/>
        <v>20</v>
      </c>
      <c r="K50" s="10">
        <f t="shared" si="1"/>
        <v>0</v>
      </c>
      <c r="L50" s="11">
        <f t="shared" si="2"/>
        <v>0</v>
      </c>
    </row>
    <row r="51" spans="1:12" ht="15.75" customHeight="1">
      <c r="A51" s="7">
        <v>50</v>
      </c>
    </row>
    <row r="52" spans="1:12" ht="15.75" customHeight="1">
      <c r="A52" s="7">
        <v>51</v>
      </c>
    </row>
    <row r="53" spans="1:12" ht="15.75" customHeight="1">
      <c r="A53" s="7">
        <v>52</v>
      </c>
    </row>
    <row r="54" spans="1:12" ht="15.75" customHeight="1">
      <c r="A54" s="7">
        <v>53</v>
      </c>
    </row>
    <row r="55" spans="1:12" ht="15.75" customHeight="1">
      <c r="A55" s="7">
        <v>54</v>
      </c>
    </row>
    <row r="56" spans="1:12" ht="15.75" customHeight="1">
      <c r="A56" s="7">
        <v>55</v>
      </c>
    </row>
    <row r="57" spans="1:12" ht="15.75" customHeight="1">
      <c r="A57" s="7">
        <v>56</v>
      </c>
    </row>
    <row r="58" spans="1:12" ht="15.75" customHeight="1">
      <c r="A58" s="7">
        <v>57</v>
      </c>
    </row>
    <row r="59" spans="1:12" ht="15.75" customHeight="1">
      <c r="A59" s="7">
        <v>58</v>
      </c>
    </row>
    <row r="60" spans="1:12" ht="15.75" customHeight="1">
      <c r="A60" s="7">
        <v>59</v>
      </c>
    </row>
    <row r="61" spans="1:12" ht="15.75" customHeight="1">
      <c r="A61" s="7">
        <v>60</v>
      </c>
    </row>
    <row r="62" spans="1:12" ht="15.75" customHeight="1">
      <c r="A62" s="7">
        <v>61</v>
      </c>
    </row>
    <row r="63" spans="1:12" ht="15.75" customHeight="1">
      <c r="A63" s="7">
        <v>62</v>
      </c>
    </row>
    <row r="64" spans="1:12" ht="15.75" customHeight="1">
      <c r="A64" s="7">
        <v>63</v>
      </c>
    </row>
    <row r="65" spans="1:1" ht="15.75" customHeight="1">
      <c r="A65" s="7">
        <v>64</v>
      </c>
    </row>
    <row r="66" spans="1:1" ht="15.75" customHeight="1">
      <c r="A66" s="7">
        <v>65</v>
      </c>
    </row>
    <row r="67" spans="1:1" ht="15.75" customHeight="1">
      <c r="A67" s="7">
        <v>66</v>
      </c>
    </row>
    <row r="68" spans="1:1" ht="15.75" customHeight="1">
      <c r="A68" s="7">
        <v>67</v>
      </c>
    </row>
    <row r="69" spans="1:1" ht="15.75" customHeight="1">
      <c r="A69" s="7">
        <v>68</v>
      </c>
    </row>
    <row r="70" spans="1:1" ht="15.75" customHeight="1">
      <c r="A70" s="7">
        <v>69</v>
      </c>
    </row>
    <row r="71" spans="1:1" ht="15.75" customHeight="1">
      <c r="A71" s="7">
        <v>70</v>
      </c>
    </row>
    <row r="72" spans="1:1" ht="15.75" customHeight="1">
      <c r="A72" s="7">
        <v>71</v>
      </c>
    </row>
    <row r="73" spans="1:1" ht="15.75" customHeight="1">
      <c r="A73" s="7">
        <v>72</v>
      </c>
    </row>
    <row r="74" spans="1:1" ht="15.75" customHeight="1">
      <c r="A74" s="7">
        <v>73</v>
      </c>
    </row>
    <row r="75" spans="1:1" ht="15.75" customHeight="1">
      <c r="A75" s="7">
        <v>74</v>
      </c>
    </row>
    <row r="76" spans="1:1" ht="15.75" customHeight="1">
      <c r="A76" s="7">
        <v>75</v>
      </c>
    </row>
    <row r="77" spans="1:1" ht="15.75" customHeight="1">
      <c r="A77" s="7">
        <v>76</v>
      </c>
    </row>
    <row r="78" spans="1:1" ht="15.75" customHeight="1">
      <c r="A78" s="7">
        <v>77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showGridLines="0" zoomScaleNormal="100" workbookViewId="0">
      <selection activeCell="D18" sqref="D18"/>
    </sheetView>
  </sheetViews>
  <sheetFormatPr baseColWidth="10" defaultColWidth="12.5703125" defaultRowHeight="12.75"/>
  <sheetData>
    <row r="1" spans="1:4" ht="12.75" customHeight="1">
      <c r="A1" s="15"/>
      <c r="B1" s="16" t="s">
        <v>61</v>
      </c>
      <c r="C1" s="17"/>
      <c r="D1" s="18"/>
    </row>
    <row r="2" spans="1:4" ht="12.75" customHeight="1">
      <c r="A2" s="19" t="s">
        <v>8</v>
      </c>
      <c r="B2" s="20" t="s">
        <v>62</v>
      </c>
      <c r="C2" s="21" t="s">
        <v>63</v>
      </c>
      <c r="D2" s="22" t="s">
        <v>64</v>
      </c>
    </row>
    <row r="3" spans="1:4" ht="12.75" customHeight="1">
      <c r="A3" s="23" t="s">
        <v>0</v>
      </c>
      <c r="B3" s="24">
        <v>520</v>
      </c>
      <c r="C3" s="25">
        <v>539</v>
      </c>
      <c r="D3" s="26">
        <v>140</v>
      </c>
    </row>
    <row r="4" spans="1:4" ht="12.75" customHeight="1">
      <c r="A4" s="27" t="s">
        <v>65</v>
      </c>
      <c r="B4" s="28"/>
      <c r="C4" s="29"/>
      <c r="D4" s="30"/>
    </row>
    <row r="5" spans="1:4" ht="12.75" customHeight="1">
      <c r="A5" s="31" t="s">
        <v>66</v>
      </c>
      <c r="B5" s="32">
        <v>520</v>
      </c>
      <c r="C5" s="33">
        <v>539</v>
      </c>
      <c r="D5" s="34">
        <v>140</v>
      </c>
    </row>
    <row r="12" spans="1:4" ht="12.75" customHeight="1">
      <c r="A12" s="35" t="s">
        <v>12</v>
      </c>
      <c r="B12" s="36">
        <f>avancement!D2</f>
        <v>0.86559139784946237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tabSelected="1" zoomScaleNormal="100" workbookViewId="0">
      <selection activeCell="E9" sqref="E9"/>
    </sheetView>
  </sheetViews>
  <sheetFormatPr baseColWidth="10" defaultColWidth="12.5703125" defaultRowHeight="12.75"/>
  <cols>
    <col min="1" max="1" width="15.7109375" style="2" customWidth="1"/>
    <col min="2" max="2" width="17.85546875" style="2" customWidth="1"/>
    <col min="3" max="3" width="17" style="2" customWidth="1"/>
    <col min="4" max="4" width="18.28515625" style="2" customWidth="1"/>
    <col min="5" max="5" width="13.7109375" style="2" customWidth="1"/>
  </cols>
  <sheetData>
    <row r="1" spans="1:6" ht="15.75" customHeight="1">
      <c r="A1" s="37" t="s">
        <v>67</v>
      </c>
      <c r="B1" s="37" t="s">
        <v>68</v>
      </c>
      <c r="C1" s="37" t="s">
        <v>69</v>
      </c>
      <c r="D1" s="37" t="s">
        <v>70</v>
      </c>
      <c r="E1" s="37" t="s">
        <v>71</v>
      </c>
      <c r="F1" s="2"/>
    </row>
    <row r="2" spans="1:6" ht="15" customHeight="1">
      <c r="A2" s="38">
        <f>SUM('liste des taches'!H:H)</f>
        <v>760</v>
      </c>
      <c r="B2" s="38">
        <f>SUM('liste des taches'!I:I)</f>
        <v>619</v>
      </c>
      <c r="C2" s="39">
        <f>SUM('liste des taches'!J2:J32)</f>
        <v>50</v>
      </c>
      <c r="D2" s="40">
        <f>AVERAGEIF('liste des taches'!H2:H32,"&gt;0",'liste des taches'!K2:K32)</f>
        <v>0.86559139784946237</v>
      </c>
      <c r="E2" s="40">
        <f>SUM('liste des taches'!L2:L32)/SUM('liste des taches'!H2:H32)</f>
        <v>0.31176470588235294</v>
      </c>
      <c r="F2" s="2"/>
    </row>
    <row r="3" spans="1:6" ht="15" customHeight="1">
      <c r="A3" s="41">
        <f>A2/60</f>
        <v>12.666666666666666</v>
      </c>
      <c r="B3" s="41"/>
      <c r="C3" s="38">
        <f>C2/60</f>
        <v>0.83333333333333337</v>
      </c>
      <c r="D3" s="41" t="s">
        <v>72</v>
      </c>
      <c r="E3" s="41"/>
      <c r="F3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"/>
  <sheetViews>
    <sheetView zoomScaleNormal="100" workbookViewId="0">
      <selection activeCell="F22" sqref="F22"/>
    </sheetView>
  </sheetViews>
  <sheetFormatPr baseColWidth="10" defaultColWidth="12.5703125" defaultRowHeight="12.75"/>
  <sheetData>
    <row r="1" spans="1:6" ht="15.75" customHeight="1">
      <c r="A1" s="42" t="s">
        <v>2</v>
      </c>
      <c r="B1" s="43" t="s">
        <v>73</v>
      </c>
      <c r="C1" s="44">
        <v>46178</v>
      </c>
      <c r="D1" s="44">
        <v>46179</v>
      </c>
      <c r="E1" s="44">
        <v>46180</v>
      </c>
      <c r="F1" s="44">
        <v>46184</v>
      </c>
    </row>
    <row r="2" spans="1:6" ht="15" customHeight="1">
      <c r="A2" s="45">
        <v>1</v>
      </c>
      <c r="B2" s="38">
        <f t="shared" ref="B2:B32" si="0">SUM(C2:K2)</f>
        <v>5</v>
      </c>
      <c r="C2" s="41">
        <v>5</v>
      </c>
      <c r="D2" s="45"/>
      <c r="E2" s="41"/>
    </row>
    <row r="3" spans="1:6" ht="15" customHeight="1">
      <c r="A3" s="45">
        <v>2</v>
      </c>
      <c r="B3" s="38">
        <f t="shared" si="0"/>
        <v>20</v>
      </c>
      <c r="C3" s="41">
        <v>20</v>
      </c>
      <c r="D3" s="45"/>
      <c r="E3" s="41"/>
    </row>
    <row r="4" spans="1:6" ht="15" customHeight="1">
      <c r="A4" s="45">
        <v>3</v>
      </c>
      <c r="B4" s="38">
        <f t="shared" si="0"/>
        <v>10</v>
      </c>
      <c r="C4" s="45">
        <v>10</v>
      </c>
      <c r="D4" s="45"/>
      <c r="E4" s="41"/>
    </row>
    <row r="5" spans="1:6" ht="15" customHeight="1">
      <c r="A5" s="45">
        <v>4</v>
      </c>
      <c r="B5" s="38">
        <f t="shared" si="0"/>
        <v>15</v>
      </c>
      <c r="C5" s="41">
        <v>15</v>
      </c>
      <c r="D5" s="45"/>
      <c r="E5" s="41"/>
    </row>
    <row r="6" spans="1:6" ht="15" customHeight="1">
      <c r="A6" s="45">
        <v>5</v>
      </c>
      <c r="B6" s="38">
        <f t="shared" si="0"/>
        <v>75</v>
      </c>
      <c r="C6" s="41">
        <v>75</v>
      </c>
      <c r="D6" s="45"/>
      <c r="E6" s="41"/>
    </row>
    <row r="7" spans="1:6" ht="15" customHeight="1">
      <c r="A7" s="45">
        <v>6</v>
      </c>
      <c r="B7" s="38">
        <f t="shared" si="0"/>
        <v>75</v>
      </c>
      <c r="C7" s="41"/>
      <c r="D7" s="45">
        <v>75</v>
      </c>
      <c r="E7" s="41"/>
    </row>
    <row r="8" spans="1:6" ht="15" customHeight="1">
      <c r="A8" s="45">
        <v>7</v>
      </c>
      <c r="B8" s="38">
        <f t="shared" si="0"/>
        <v>75</v>
      </c>
      <c r="C8" s="41"/>
      <c r="D8" s="45">
        <v>75</v>
      </c>
      <c r="E8" s="41"/>
    </row>
    <row r="9" spans="1:6" ht="15" customHeight="1">
      <c r="A9" s="45">
        <v>8</v>
      </c>
      <c r="B9" s="38">
        <f t="shared" si="0"/>
        <v>50</v>
      </c>
      <c r="C9" s="46"/>
      <c r="D9" s="45"/>
      <c r="E9" s="47">
        <v>50</v>
      </c>
    </row>
    <row r="10" spans="1:6" ht="15" customHeight="1">
      <c r="A10" s="45">
        <v>9</v>
      </c>
      <c r="B10" s="38">
        <f t="shared" si="0"/>
        <v>15</v>
      </c>
      <c r="C10" s="46"/>
      <c r="D10" s="45"/>
      <c r="E10" s="47">
        <v>15</v>
      </c>
    </row>
    <row r="11" spans="1:6" ht="15.75" customHeight="1">
      <c r="A11" s="45">
        <v>10</v>
      </c>
      <c r="B11" s="38">
        <f t="shared" si="0"/>
        <v>5</v>
      </c>
      <c r="C11" s="47">
        <v>5</v>
      </c>
      <c r="D11" s="46"/>
      <c r="E11" s="46"/>
    </row>
    <row r="12" spans="1:6" ht="15.75" customHeight="1">
      <c r="A12" s="45">
        <v>11</v>
      </c>
      <c r="B12" s="38">
        <f t="shared" si="0"/>
        <v>20</v>
      </c>
      <c r="C12" s="47">
        <v>20</v>
      </c>
      <c r="D12" s="46"/>
      <c r="E12" s="46"/>
    </row>
    <row r="13" spans="1:6" ht="15.75" customHeight="1">
      <c r="A13" s="45">
        <v>12</v>
      </c>
      <c r="B13" s="38">
        <f t="shared" si="0"/>
        <v>9</v>
      </c>
      <c r="C13" s="47">
        <v>9</v>
      </c>
      <c r="D13" s="46"/>
      <c r="E13" s="46"/>
    </row>
    <row r="14" spans="1:6" ht="15.75" customHeight="1">
      <c r="A14" s="45">
        <v>13</v>
      </c>
      <c r="B14" s="38">
        <f t="shared" si="0"/>
        <v>10</v>
      </c>
      <c r="C14" s="46"/>
      <c r="D14" s="46"/>
      <c r="E14" s="47">
        <v>10</v>
      </c>
    </row>
    <row r="15" spans="1:6" ht="15.75" customHeight="1">
      <c r="A15" s="45">
        <v>14</v>
      </c>
      <c r="B15" s="38">
        <f t="shared" si="0"/>
        <v>50</v>
      </c>
      <c r="C15" s="46"/>
      <c r="D15" s="46"/>
      <c r="E15" s="47">
        <v>50</v>
      </c>
    </row>
    <row r="16" spans="1:6" ht="15.75" customHeight="1">
      <c r="A16" s="45">
        <v>15</v>
      </c>
      <c r="B16" s="38">
        <f t="shared" si="0"/>
        <v>20</v>
      </c>
      <c r="C16" s="46"/>
      <c r="D16" s="46"/>
      <c r="E16" s="47">
        <v>20</v>
      </c>
    </row>
    <row r="17" spans="1:5" ht="15.75" customHeight="1">
      <c r="A17" s="45">
        <v>16</v>
      </c>
      <c r="B17" s="38">
        <f t="shared" si="0"/>
        <v>5</v>
      </c>
      <c r="C17" s="46"/>
      <c r="D17" s="46"/>
      <c r="E17" s="47">
        <v>5</v>
      </c>
    </row>
    <row r="18" spans="1:5" ht="15.75" customHeight="1">
      <c r="A18" s="45">
        <v>17</v>
      </c>
      <c r="B18" s="38">
        <f t="shared" si="0"/>
        <v>10</v>
      </c>
      <c r="C18" s="46"/>
      <c r="D18" s="46"/>
      <c r="E18" s="47">
        <v>10</v>
      </c>
    </row>
    <row r="19" spans="1:5" ht="15.75" customHeight="1">
      <c r="A19" s="45">
        <v>18</v>
      </c>
      <c r="B19" s="38">
        <f t="shared" si="0"/>
        <v>10</v>
      </c>
      <c r="C19" s="46"/>
      <c r="D19" s="46"/>
      <c r="E19" s="47">
        <v>10</v>
      </c>
    </row>
    <row r="20" spans="1:5" ht="15.75" customHeight="1">
      <c r="A20" s="45">
        <v>19</v>
      </c>
      <c r="B20" s="38">
        <f t="shared" si="0"/>
        <v>5</v>
      </c>
      <c r="C20" s="46"/>
      <c r="D20" s="46"/>
      <c r="E20" s="47">
        <v>5</v>
      </c>
    </row>
    <row r="21" spans="1:5" ht="15.75" customHeight="1">
      <c r="A21" s="45">
        <v>20</v>
      </c>
      <c r="B21" s="38">
        <f t="shared" si="0"/>
        <v>20</v>
      </c>
      <c r="C21" s="46"/>
      <c r="D21" s="46"/>
      <c r="E21" s="47">
        <v>20</v>
      </c>
    </row>
    <row r="22" spans="1:5" ht="15.75" customHeight="1">
      <c r="A22" s="45">
        <v>21</v>
      </c>
      <c r="B22" s="38">
        <f t="shared" si="0"/>
        <v>10</v>
      </c>
      <c r="C22" s="46"/>
      <c r="D22" s="46"/>
      <c r="E22" s="47">
        <v>10</v>
      </c>
    </row>
    <row r="23" spans="1:5" ht="15.75" customHeight="1">
      <c r="A23" s="45">
        <v>22</v>
      </c>
      <c r="B23" s="38">
        <f t="shared" si="0"/>
        <v>25</v>
      </c>
      <c r="C23" s="46"/>
      <c r="D23" s="46"/>
      <c r="E23" s="47">
        <v>25</v>
      </c>
    </row>
    <row r="24" spans="1:5" ht="15.75" customHeight="1">
      <c r="A24" s="45">
        <v>23</v>
      </c>
      <c r="B24" s="38">
        <f t="shared" si="0"/>
        <v>5</v>
      </c>
      <c r="C24" s="46"/>
      <c r="D24" s="46"/>
      <c r="E24" s="46">
        <v>5</v>
      </c>
    </row>
    <row r="25" spans="1:5" ht="15.75" customHeight="1">
      <c r="A25" s="45">
        <v>24</v>
      </c>
      <c r="B25" s="38">
        <f t="shared" si="0"/>
        <v>15</v>
      </c>
      <c r="C25" s="46"/>
      <c r="D25" s="46"/>
      <c r="E25" s="46">
        <v>15</v>
      </c>
    </row>
    <row r="26" spans="1:5" ht="15.75" customHeight="1">
      <c r="A26" s="45">
        <v>25</v>
      </c>
      <c r="B26" s="38">
        <f t="shared" si="0"/>
        <v>5</v>
      </c>
      <c r="C26" s="46"/>
      <c r="D26" s="46"/>
      <c r="E26" s="46">
        <v>5</v>
      </c>
    </row>
    <row r="27" spans="1:5" ht="15">
      <c r="A27" s="45">
        <v>26</v>
      </c>
      <c r="B27" s="38">
        <f t="shared" si="0"/>
        <v>0</v>
      </c>
    </row>
    <row r="28" spans="1:5" ht="15">
      <c r="A28" s="45">
        <v>27</v>
      </c>
      <c r="B28" s="38">
        <f t="shared" si="0"/>
        <v>0</v>
      </c>
    </row>
    <row r="29" spans="1:5" ht="15">
      <c r="A29" s="45">
        <v>28</v>
      </c>
      <c r="B29" s="38">
        <f t="shared" si="0"/>
        <v>0</v>
      </c>
    </row>
    <row r="30" spans="1:5" ht="15">
      <c r="A30" s="45">
        <v>29</v>
      </c>
      <c r="B30" s="38">
        <f t="shared" si="0"/>
        <v>20</v>
      </c>
      <c r="E30">
        <v>20</v>
      </c>
    </row>
    <row r="31" spans="1:5" ht="15">
      <c r="A31" s="45">
        <v>30</v>
      </c>
      <c r="B31" s="38">
        <f t="shared" si="0"/>
        <v>20</v>
      </c>
      <c r="E31">
        <v>20</v>
      </c>
    </row>
    <row r="32" spans="1:5" ht="15">
      <c r="A32" s="45">
        <v>31</v>
      </c>
      <c r="B32" s="38">
        <f t="shared" si="0"/>
        <v>15</v>
      </c>
      <c r="E32">
        <v>15</v>
      </c>
    </row>
    <row r="33" spans="1:1" ht="15">
      <c r="A33" s="45">
        <v>32</v>
      </c>
    </row>
    <row r="34" spans="1:1" ht="15">
      <c r="A34" s="45">
        <v>33</v>
      </c>
    </row>
    <row r="35" spans="1:1" ht="15">
      <c r="A35" s="45">
        <v>34</v>
      </c>
    </row>
    <row r="36" spans="1:1" ht="15">
      <c r="A36" s="45">
        <v>35</v>
      </c>
    </row>
    <row r="37" spans="1:1" ht="15">
      <c r="A37" s="45">
        <v>36</v>
      </c>
    </row>
    <row r="38" spans="1:1" ht="15">
      <c r="A38" s="45">
        <v>37</v>
      </c>
    </row>
    <row r="39" spans="1:1" ht="15">
      <c r="A39" s="45">
        <v>38</v>
      </c>
    </row>
    <row r="40" spans="1:1" ht="15">
      <c r="A40" s="45">
        <v>39</v>
      </c>
    </row>
    <row r="41" spans="1:1" ht="15">
      <c r="A41" s="45">
        <v>40</v>
      </c>
    </row>
    <row r="42" spans="1:1" ht="15">
      <c r="A42" s="45">
        <v>41</v>
      </c>
    </row>
    <row r="43" spans="1:1" ht="15">
      <c r="A43" s="45">
        <v>42</v>
      </c>
    </row>
    <row r="44" spans="1:1" ht="15">
      <c r="A44" s="45">
        <v>43</v>
      </c>
    </row>
    <row r="45" spans="1:1" ht="15">
      <c r="A45" s="45">
        <v>44</v>
      </c>
    </row>
    <row r="46" spans="1:1" ht="15">
      <c r="A46" s="45">
        <v>45</v>
      </c>
    </row>
    <row r="47" spans="1:1" ht="15">
      <c r="A47" s="45">
        <v>46</v>
      </c>
    </row>
    <row r="48" spans="1:1" ht="15">
      <c r="A48" s="45">
        <v>47</v>
      </c>
    </row>
    <row r="49" spans="1:1" ht="15">
      <c r="A49" s="45">
        <v>48</v>
      </c>
    </row>
    <row r="50" spans="1:1" ht="15">
      <c r="A50" s="45">
        <v>49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groupe</vt:lpstr>
      <vt:lpstr>liste des taches</vt:lpstr>
      <vt:lpstr>Recap</vt:lpstr>
      <vt:lpstr>avancement</vt:lpstr>
      <vt:lpstr>detail_avancement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Ericka</cp:lastModifiedBy>
  <cp:revision>0</cp:revision>
  <dcterms:created xsi:type="dcterms:W3CDTF">2026-06-07T01:30:15Z</dcterms:created>
  <dcterms:modified xsi:type="dcterms:W3CDTF">2026-06-11T07:39:27Z</dcterms:modified>
  <dc:language>en-US</dc:language>
</cp:coreProperties>
</file>