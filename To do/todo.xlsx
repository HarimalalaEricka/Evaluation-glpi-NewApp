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ccc9ba13b5ec9e0/Documents/GitHub/Evaluation-glpi-NewApp/To do/"/>
    </mc:Choice>
  </mc:AlternateContent>
  <xr:revisionPtr revIDLastSave="1" documentId="13_ncr:1_{54828E04-CEAF-42A4-922D-53BC2D354A54}" xr6:coauthVersionLast="47" xr6:coauthVersionMax="47" xr10:uidLastSave="{3E8D96FC-AE55-4FCB-B1AA-7D5ECEB5EBE0}"/>
  <bookViews>
    <workbookView xWindow="-120" yWindow="-120" windowWidth="15600" windowHeight="11040" firstSheet="1" activeTab="3" xr2:uid="{00000000-000D-0000-FFFF-FFFF00000000}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5" r:id="rId5"/>
  </sheets>
  <calcPr calcId="191029"/>
  <pivotCaches>
    <pivotCache cacheId="3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4" l="1"/>
  <c r="B3" i="5"/>
  <c r="I3" i="2" s="1"/>
  <c r="J3" i="2" s="1"/>
  <c r="B4" i="5"/>
  <c r="B5" i="5"/>
  <c r="B6" i="5"/>
  <c r="I6" i="2" s="1"/>
  <c r="B7" i="5"/>
  <c r="B8" i="5"/>
  <c r="B9" i="5"/>
  <c r="B10" i="5"/>
  <c r="I10" i="2" s="1"/>
  <c r="B11" i="5"/>
  <c r="B12" i="5"/>
  <c r="I12" i="2" s="1"/>
  <c r="J12" i="2" s="1"/>
  <c r="B13" i="5"/>
  <c r="I13" i="2" s="1"/>
  <c r="B14" i="5"/>
  <c r="B15" i="5"/>
  <c r="B16" i="5"/>
  <c r="B17" i="5"/>
  <c r="B18" i="5"/>
  <c r="I18" i="2" s="1"/>
  <c r="B19" i="5"/>
  <c r="B20" i="5"/>
  <c r="B21" i="5"/>
  <c r="I21" i="2" s="1"/>
  <c r="B22" i="5"/>
  <c r="I22" i="2" s="1"/>
  <c r="B23" i="5"/>
  <c r="B24" i="5"/>
  <c r="B25" i="5"/>
  <c r="B26" i="5"/>
  <c r="I26" i="2" s="1"/>
  <c r="B2" i="5"/>
  <c r="K24" i="2"/>
  <c r="K25" i="2"/>
  <c r="K27" i="2"/>
  <c r="K28" i="2"/>
  <c r="K29" i="2"/>
  <c r="K30" i="2"/>
  <c r="K31" i="2"/>
  <c r="K32" i="2"/>
  <c r="I20" i="2"/>
  <c r="J20" i="2" s="1"/>
  <c r="I24" i="2"/>
  <c r="J24" i="2" s="1"/>
  <c r="I25" i="2"/>
  <c r="J25" i="2" s="1"/>
  <c r="I14" i="2"/>
  <c r="J14" i="2" s="1"/>
  <c r="J9" i="2"/>
  <c r="K9" i="2" s="1"/>
  <c r="J19" i="2"/>
  <c r="J27" i="2"/>
  <c r="J28" i="2"/>
  <c r="J29" i="2"/>
  <c r="J30" i="2"/>
  <c r="J31" i="2"/>
  <c r="J32" i="2"/>
  <c r="I4" i="2"/>
  <c r="J4" i="2" s="1"/>
  <c r="I5" i="2"/>
  <c r="J5" i="2" s="1"/>
  <c r="I7" i="2"/>
  <c r="J7" i="2" s="1"/>
  <c r="I8" i="2"/>
  <c r="J8" i="2" s="1"/>
  <c r="I9" i="2"/>
  <c r="I11" i="2"/>
  <c r="J11" i="2" s="1"/>
  <c r="I15" i="2"/>
  <c r="I16" i="2"/>
  <c r="J16" i="2" s="1"/>
  <c r="I17" i="2"/>
  <c r="J17" i="2" s="1"/>
  <c r="I19" i="2"/>
  <c r="K19" i="2" s="1"/>
  <c r="I23" i="2"/>
  <c r="J23" i="2" s="1"/>
  <c r="I27" i="2"/>
  <c r="I28" i="2"/>
  <c r="I29" i="2"/>
  <c r="I30" i="2"/>
  <c r="I31" i="2"/>
  <c r="I32" i="2"/>
  <c r="A2" i="4"/>
  <c r="I2" i="2"/>
  <c r="J2" i="2" s="1"/>
  <c r="K5" i="2" l="1"/>
  <c r="J13" i="2"/>
  <c r="K13" i="2"/>
  <c r="J22" i="2"/>
  <c r="K22" i="2" s="1"/>
  <c r="J26" i="2"/>
  <c r="K26" i="2"/>
  <c r="J18" i="2"/>
  <c r="K18" i="2"/>
  <c r="J10" i="2"/>
  <c r="K10" i="2" s="1"/>
  <c r="J6" i="2"/>
  <c r="K6" i="2" s="1"/>
  <c r="J21" i="2"/>
  <c r="K21" i="2"/>
  <c r="K4" i="2"/>
  <c r="K17" i="2"/>
  <c r="K20" i="2"/>
  <c r="K16" i="2"/>
  <c r="K8" i="2"/>
  <c r="J15" i="2"/>
  <c r="K15" i="2" s="1"/>
  <c r="K23" i="2"/>
  <c r="K11" i="2"/>
  <c r="K7" i="2"/>
  <c r="K3" i="2"/>
  <c r="K12" i="2"/>
  <c r="K14" i="2"/>
  <c r="B2" i="4"/>
  <c r="K2" i="2"/>
  <c r="C2" i="4" l="1"/>
  <c r="C3" i="4" l="1"/>
  <c r="E2" i="4"/>
  <c r="D2" i="4"/>
  <c r="B12" i="3" s="1"/>
</calcChain>
</file>

<file path=xl/sharedStrings.xml><?xml version="1.0" encoding="utf-8"?>
<sst xmlns="http://schemas.openxmlformats.org/spreadsheetml/2006/main" count="216" uniqueCount="71">
  <si>
    <t>Ligne</t>
  </si>
  <si>
    <t>Catégorie</t>
  </si>
  <si>
    <t>Module</t>
  </si>
  <si>
    <t>Page</t>
  </si>
  <si>
    <t>Description tâche</t>
  </si>
  <si>
    <t>Type</t>
  </si>
  <si>
    <t>Qui</t>
  </si>
  <si>
    <t>Estimation</t>
  </si>
  <si>
    <t>Temps passé</t>
  </si>
  <si>
    <t>Reste à faire</t>
  </si>
  <si>
    <t>Avancement</t>
  </si>
  <si>
    <t>Backoffice</t>
  </si>
  <si>
    <t>Affichage</t>
  </si>
  <si>
    <t>Metier</t>
  </si>
  <si>
    <t>Integration</t>
  </si>
  <si>
    <t>Total général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</si>
  <si>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</si>
  <si>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</si>
  <si>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</si>
  <si>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</si>
  <si>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</si>
  <si>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</si>
  <si>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</si>
  <si>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/>
  </si>
  <si>
    <t>SUM of Estimation</t>
  </si>
  <si>
    <t>SUM of Temps passé</t>
  </si>
  <si>
    <t>SUM of Reste à faire</t>
  </si>
  <si>
    <t>(vide)</t>
  </si>
  <si>
    <t>ETU003350</t>
  </si>
  <si>
    <t>RANDRIANOMENA Harimalala Ericka</t>
  </si>
  <si>
    <t>Gestion Reset</t>
  </si>
  <si>
    <t>deleteView</t>
  </si>
  <si>
    <t>Bouton de reinitialisaton</t>
  </si>
  <si>
    <t>deleteService</t>
  </si>
  <si>
    <t>deleteAll</t>
  </si>
  <si>
    <t>Gestion Import</t>
  </si>
  <si>
    <t>importView</t>
  </si>
  <si>
    <t>Formulaire de fichier csv</t>
  </si>
  <si>
    <t>importService</t>
  </si>
  <si>
    <t>importAssets</t>
  </si>
  <si>
    <t>importImage</t>
  </si>
  <si>
    <t>Gestion Protection</t>
  </si>
  <si>
    <t>entreView</t>
  </si>
  <si>
    <t>formulaire de code unique</t>
  </si>
  <si>
    <t>entreService</t>
  </si>
  <si>
    <t>validerCode</t>
  </si>
  <si>
    <t>Gestion Dashboard</t>
  </si>
  <si>
    <t>nombre general d element et ticket</t>
  </si>
  <si>
    <t>dashboardService</t>
  </si>
  <si>
    <t>dashboardView</t>
  </si>
  <si>
    <t>countElement</t>
  </si>
  <si>
    <t>countTicket</t>
  </si>
  <si>
    <t>Gestion Ticket</t>
  </si>
  <si>
    <t>ticketListView</t>
  </si>
  <si>
    <t>liste des tickets</t>
  </si>
  <si>
    <t>ticketService</t>
  </si>
  <si>
    <t>getAllTicket</t>
  </si>
  <si>
    <t>fiche d un ticket</t>
  </si>
  <si>
    <t>ticketFicheView</t>
  </si>
  <si>
    <t>getById</t>
  </si>
  <si>
    <t>Frontoffice</t>
  </si>
  <si>
    <t>Gestion Assets</t>
  </si>
  <si>
    <t>assetsListView</t>
  </si>
  <si>
    <t>liste des elements</t>
  </si>
  <si>
    <t>assetsService</t>
  </si>
  <si>
    <t>getItems</t>
  </si>
  <si>
    <t>recherche multi critere</t>
  </si>
  <si>
    <t>searchAssets</t>
  </si>
  <si>
    <t>ticketformView</t>
  </si>
  <si>
    <t>formulaire de creation de ticket</t>
  </si>
  <si>
    <t>insertTicket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</si>
</sst>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5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Liberation Serif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Liberation Serif"/>
    </font>
    <font>
      <b/>
      <sz val="10"/>
      <color theme="1"/>
      <name val="Arial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  <font>
      <sz val="8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0" fontId="4" fillId="0" borderId="1" xfId="0" applyFont="1" applyBorder="1" applyAlignment="1"/>
    <xf numFmtId="0" fontId="5" fillId="0" borderId="1" xfId="0" applyFont="1" applyBorder="1" applyAlignment="1"/>
    <xf numFmtId="0" fontId="6" fillId="0" borderId="1" xfId="0" applyFont="1" applyBorder="1" applyAlignment="1"/>
    <xf numFmtId="0" fontId="6" fillId="0" borderId="1" xfId="0" applyFont="1" applyBorder="1" applyAlignment="1"/>
    <xf numFmtId="0" fontId="5" fillId="0" borderId="1" xfId="0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4" fillId="0" borderId="0" xfId="0" applyFont="1"/>
    <xf numFmtId="0" fontId="7" fillId="3" borderId="0" xfId="0" applyFont="1" applyFill="1" applyAlignment="1"/>
    <xf numFmtId="10" fontId="7" fillId="3" borderId="0" xfId="0" applyNumberFormat="1" applyFont="1" applyFill="1"/>
    <xf numFmtId="0" fontId="8" fillId="4" borderId="2" xfId="0" applyFont="1" applyFill="1" applyBorder="1" applyAlignment="1"/>
    <xf numFmtId="0" fontId="9" fillId="0" borderId="0" xfId="0" applyFont="1" applyAlignment="1">
      <alignment horizontal="right"/>
    </xf>
    <xf numFmtId="10" fontId="9" fillId="0" borderId="0" xfId="0" applyNumberFormat="1" applyFont="1" applyAlignment="1">
      <alignment horizontal="right"/>
    </xf>
    <xf numFmtId="9" fontId="9" fillId="0" borderId="0" xfId="0" applyNumberFormat="1" applyFont="1" applyAlignment="1">
      <alignment horizontal="right"/>
    </xf>
    <xf numFmtId="0" fontId="9" fillId="0" borderId="0" xfId="0" applyFont="1" applyAlignment="1"/>
    <xf numFmtId="0" fontId="10" fillId="4" borderId="0" xfId="0" applyFont="1" applyFill="1" applyAlignment="1"/>
    <xf numFmtId="0" fontId="10" fillId="0" borderId="0" xfId="0" applyFont="1" applyAlignment="1"/>
    <xf numFmtId="164" fontId="10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0" fillId="0" borderId="3" xfId="0" applyFont="1" applyBorder="1" applyAlignment="1"/>
    <xf numFmtId="0" fontId="0" fillId="0" borderId="3" xfId="0" pivotButton="1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3" xfId="0" applyNumberFormat="1" applyFont="1" applyBorder="1" applyAlignment="1"/>
    <xf numFmtId="0" fontId="0" fillId="0" borderId="6" xfId="0" applyNumberFormat="1" applyFont="1" applyBorder="1" applyAlignment="1"/>
    <xf numFmtId="0" fontId="0" fillId="0" borderId="7" xfId="0" applyNumberFormat="1" applyFont="1" applyBorder="1" applyAlignment="1"/>
    <xf numFmtId="0" fontId="0" fillId="0" borderId="8" xfId="0" applyFont="1" applyBorder="1" applyAlignment="1"/>
    <xf numFmtId="0" fontId="0" fillId="0" borderId="8" xfId="0" applyNumberFormat="1" applyFont="1" applyBorder="1" applyAlignment="1"/>
    <xf numFmtId="0" fontId="0" fillId="0" borderId="2" xfId="0" applyNumberFormat="1" applyFont="1" applyBorder="1" applyAlignment="1"/>
    <xf numFmtId="0" fontId="0" fillId="0" borderId="9" xfId="0" applyNumberFormat="1" applyFont="1" applyBorder="1" applyAlignment="1"/>
    <xf numFmtId="0" fontId="0" fillId="0" borderId="10" xfId="0" applyFont="1" applyBorder="1" applyAlignment="1"/>
    <xf numFmtId="0" fontId="0" fillId="0" borderId="10" xfId="0" applyNumberFormat="1" applyFont="1" applyBorder="1" applyAlignment="1"/>
    <xf numFmtId="0" fontId="0" fillId="0" borderId="11" xfId="0" applyNumberFormat="1" applyFont="1" applyBorder="1" applyAlignment="1"/>
    <xf numFmtId="0" fontId="0" fillId="0" borderId="12" xfId="0" applyNumberFormat="1" applyFont="1" applyBorder="1" applyAlignment="1"/>
    <xf numFmtId="0" fontId="1" fillId="0" borderId="1" xfId="0" applyFont="1" applyBorder="1" applyAlignment="1"/>
    <xf numFmtId="0" fontId="13" fillId="0" borderId="1" xfId="0" applyFont="1" applyBorder="1" applyAlignment="1"/>
    <xf numFmtId="0" fontId="0" fillId="0" borderId="0" xfId="0" applyNumberFormat="1" applyFont="1" applyAlignment="1"/>
    <xf numFmtId="0" fontId="14" fillId="0" borderId="0" xfId="0" applyFont="1"/>
    <xf numFmtId="0" fontId="14" fillId="0" borderId="0" xfId="0" applyFont="1" applyAlignment="1"/>
    <xf numFmtId="0" fontId="14" fillId="0" borderId="13" xfId="0" applyFont="1" applyFill="1" applyBorder="1" applyAlignment="1"/>
    <xf numFmtId="0" fontId="14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ricka Harimalala" refreshedDate="46178.741894444443" refreshedVersion="7" recordCount="32" xr:uid="{00000000-000A-0000-FFFF-FFFF00000000}">
  <cacheSource type="worksheet">
    <worksheetSource ref="B1:K993" sheet="liste des taches"/>
  </cacheSource>
  <cacheFields count="10">
    <cacheField name="Catégorie" numFmtId="0">
      <sharedItems containsBlank="1"/>
    </cacheField>
    <cacheField name="Module" numFmtId="0">
      <sharedItems containsBlank="1"/>
    </cacheField>
    <cacheField name="Page" numFmtId="0">
      <sharedItems containsBlank="1"/>
    </cacheField>
    <cacheField name="Description tâche" numFmtId="0">
      <sharedItems containsBlank="1"/>
    </cacheField>
    <cacheField name="Type" numFmtId="0">
      <sharedItems containsBlank="1"/>
    </cacheField>
    <cacheField name="Qui" numFmtId="0">
      <sharedItems containsBlank="1" count="6">
        <s v="ETU003350"/>
        <m/>
        <s v="ETU00XXXX" u="1"/>
        <s v="ETU00ZZZZ" u="1"/>
        <s v="ETU00WWWW" u="1"/>
        <s v="ETU00YYYY" u="1"/>
      </sharedItems>
    </cacheField>
    <cacheField name="Estimation" numFmtId="0">
      <sharedItems containsString="0" containsBlank="1" containsNumber="1" containsInteger="1" minValue="5" maxValue="50"/>
    </cacheField>
    <cacheField name="Temps passé" numFmtId="0">
      <sharedItems containsString="0" containsBlank="1" containsNumber="1" containsInteger="1" minValue="0" maxValue="75"/>
    </cacheField>
    <cacheField name="Reste à faire" numFmtId="0">
      <sharedItems containsString="0" containsBlank="1" containsNumber="1" containsInteger="1" minValue="-25" maxValue="50"/>
    </cacheField>
    <cacheField name="Avancement" numFmtId="0">
      <sharedItems containsString="0" containsBlank="1" containsNumber="1" minValue="0" maxValue="1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Backoffice"/>
    <s v="Gestion Reset"/>
    <s v="deleteView"/>
    <s v="Bouton de reinitialisaton"/>
    <s v="Affichage"/>
    <x v="0"/>
    <n v="5"/>
    <n v="5"/>
    <n v="0"/>
    <n v="1"/>
  </r>
  <r>
    <s v="Backoffice"/>
    <s v="Gestion Reset"/>
    <s v="deleteService"/>
    <s v="deleteAll"/>
    <s v="Metier"/>
    <x v="0"/>
    <n v="20"/>
    <n v="20"/>
    <n v="0"/>
    <n v="1"/>
  </r>
  <r>
    <s v="Backoffice"/>
    <s v="Gestion Reset"/>
    <s v="deleteView"/>
    <s v="Bouton de reinitialisaton"/>
    <s v="Integration"/>
    <x v="0"/>
    <n v="10"/>
    <n v="10"/>
    <n v="0"/>
    <n v="1"/>
  </r>
  <r>
    <s v="Backoffice"/>
    <s v="Gestion Import"/>
    <s v="importView"/>
    <s v="Formulaire de fichier csv"/>
    <s v="Affichage"/>
    <x v="0"/>
    <n v="15"/>
    <n v="15"/>
    <n v="0"/>
    <n v="1"/>
  </r>
  <r>
    <s v="Backoffice"/>
    <s v="Gestion Import"/>
    <s v="importService"/>
    <s v="importAssets"/>
    <s v="Metier"/>
    <x v="0"/>
    <n v="50"/>
    <n v="75"/>
    <n v="-25"/>
    <n v="1.5"/>
  </r>
  <r>
    <s v="Backoffice"/>
    <s v="Gestion Import"/>
    <s v="importService"/>
    <s v="importAssets"/>
    <s v="Metier"/>
    <x v="0"/>
    <n v="50"/>
    <n v="0"/>
    <n v="50"/>
    <n v="0"/>
  </r>
  <r>
    <s v="Backoffice"/>
    <s v="Gestion Import"/>
    <s v="importService"/>
    <s v="importAssets"/>
    <s v="Metier"/>
    <x v="0"/>
    <n v="50"/>
    <n v="0"/>
    <n v="50"/>
    <n v="0"/>
  </r>
  <r>
    <s v="Backoffice"/>
    <s v="Gestion Import"/>
    <s v="importService"/>
    <s v="importImage"/>
    <s v="Metier"/>
    <x v="0"/>
    <n v="50"/>
    <n v="0"/>
    <n v="50"/>
    <n v="0"/>
  </r>
  <r>
    <s v="Backoffice"/>
    <s v="Gestion Import"/>
    <s v="importView"/>
    <s v="Integration"/>
    <s v="Integration"/>
    <x v="0"/>
    <n v="15"/>
    <n v="0"/>
    <n v="15"/>
    <n v="0"/>
  </r>
  <r>
    <s v="Backoffice"/>
    <s v="Gestion Protection"/>
    <s v="entreView"/>
    <s v="formulaire de code unique"/>
    <s v="Affichage"/>
    <x v="0"/>
    <n v="5"/>
    <n v="5"/>
    <n v="0"/>
    <n v="1"/>
  </r>
  <r>
    <s v="Backoffice"/>
    <s v="Gestion Protection"/>
    <s v="entreService"/>
    <s v="validerCode"/>
    <s v="Integration"/>
    <x v="0"/>
    <n v="20"/>
    <n v="20"/>
    <n v="0"/>
    <n v="1"/>
  </r>
  <r>
    <s v="Backoffice"/>
    <s v="Gestion Protection"/>
    <s v="entreView"/>
    <s v="Integration"/>
    <s v="Integration"/>
    <x v="0"/>
    <n v="5"/>
    <n v="9"/>
    <n v="-4"/>
    <n v="1.8"/>
  </r>
  <r>
    <s v="Backoffice"/>
    <s v="Gestion Dashboard"/>
    <s v="dashboardView"/>
    <s v="nombre general d element et ticket"/>
    <s v="Affichage"/>
    <x v="0"/>
    <n v="10"/>
    <n v="0"/>
    <n v="10"/>
    <n v="0"/>
  </r>
  <r>
    <s v="Backoffice"/>
    <s v="Gestion Dashboard"/>
    <s v="dashboardService"/>
    <s v="countElement"/>
    <s v="Metier"/>
    <x v="0"/>
    <n v="10"/>
    <n v="0"/>
    <n v="10"/>
    <n v="0"/>
  </r>
  <r>
    <s v="Backoffice"/>
    <s v="Gestion Dashboard"/>
    <s v="dashboardService"/>
    <s v="countTicket"/>
    <s v="Metier"/>
    <x v="0"/>
    <n v="10"/>
    <n v="0"/>
    <n v="10"/>
    <n v="0"/>
  </r>
  <r>
    <s v="Backoffice"/>
    <s v="Gestion Dashboard"/>
    <s v="dashboardView"/>
    <s v="Integration"/>
    <s v="Integration"/>
    <x v="0"/>
    <n v="10"/>
    <n v="0"/>
    <n v="10"/>
    <n v="0"/>
  </r>
  <r>
    <s v="Backoffice"/>
    <s v="Gestion Ticket"/>
    <s v="ticketListView"/>
    <s v="liste des tickets"/>
    <s v="Affichage"/>
    <x v="0"/>
    <n v="10"/>
    <n v="0"/>
    <n v="10"/>
    <n v="0"/>
  </r>
  <r>
    <s v="Backoffice"/>
    <s v="Gestion Ticket"/>
    <s v="ticketService"/>
    <s v="getAllTicket"/>
    <s v="Metier"/>
    <x v="0"/>
    <n v="10"/>
    <n v="0"/>
    <n v="10"/>
    <n v="0"/>
  </r>
  <r>
    <s v="Backoffice"/>
    <s v="Gestion Ticket"/>
    <s v="ticketListView"/>
    <s v="Integration"/>
    <s v="Integration"/>
    <x v="0"/>
    <n v="5"/>
    <n v="0"/>
    <n v="5"/>
    <n v="0"/>
  </r>
  <r>
    <s v="Backoffice"/>
    <s v="Gestion Ticket"/>
    <s v="ticketFicheView"/>
    <s v="fiche d un ticket"/>
    <s v="Affichage"/>
    <x v="0"/>
    <n v="10"/>
    <n v="0"/>
    <n v="10"/>
    <n v="0"/>
  </r>
  <r>
    <s v="Backoffice"/>
    <s v="Gestion Ticket"/>
    <s v="ticketService"/>
    <s v="getById"/>
    <s v="Metier"/>
    <x v="0"/>
    <n v="10"/>
    <n v="0"/>
    <n v="10"/>
    <n v="0"/>
  </r>
  <r>
    <s v="Backoffice"/>
    <s v="Gestion Ticket"/>
    <s v="ticketFicheView"/>
    <s v="Integration"/>
    <s v="Integration"/>
    <x v="0"/>
    <n v="5"/>
    <n v="0"/>
    <n v="5"/>
    <n v="0"/>
  </r>
  <r>
    <s v="Frontoffice"/>
    <s v="Gestion Assets"/>
    <s v="assetsListView"/>
    <s v="liste des elements"/>
    <s v="Affichage"/>
    <x v="0"/>
    <n v="15"/>
    <n v="0"/>
    <n v="15"/>
    <n v="0"/>
  </r>
  <r>
    <s v="Frontoffice"/>
    <s v="Gestion Assets"/>
    <s v="assetsService"/>
    <s v="getItems"/>
    <s v="Metier"/>
    <x v="0"/>
    <n v="20"/>
    <n v="0"/>
    <n v="20"/>
    <n v="0"/>
  </r>
  <r>
    <s v="Frontoffice"/>
    <s v="Gestion Assets"/>
    <s v="assetsListView"/>
    <s v="Integration"/>
    <s v="Integration"/>
    <x v="0"/>
    <n v="10"/>
    <n v="0"/>
    <n v="10"/>
    <n v="0"/>
  </r>
  <r>
    <s v="Frontoffice"/>
    <s v="Gestion Assets"/>
    <s v="assetsListView"/>
    <s v="recherche multi critere"/>
    <s v="Affichage"/>
    <x v="0"/>
    <n v="5"/>
    <n v="0"/>
    <n v="5"/>
    <n v="0"/>
  </r>
  <r>
    <s v="Frontoffice"/>
    <s v="Gestion Assets"/>
    <s v="assetsService"/>
    <s v="searchAssets"/>
    <s v="Metier"/>
    <x v="0"/>
    <n v="25"/>
    <n v="0"/>
    <n v="25"/>
    <n v="0"/>
  </r>
  <r>
    <s v="Frontoffice"/>
    <s v="Gestion Assets"/>
    <s v="assetsListView"/>
    <s v="Integration"/>
    <s v="Integration"/>
    <x v="0"/>
    <n v="5"/>
    <n v="0"/>
    <n v="5"/>
    <n v="0"/>
  </r>
  <r>
    <s v="Frontoffice"/>
    <s v="Gestion Ticket"/>
    <s v="ticketformView"/>
    <s v="formulaire de creation de ticket"/>
    <s v="Affichage"/>
    <x v="0"/>
    <n v="20"/>
    <n v="0"/>
    <n v="20"/>
    <n v="0"/>
  </r>
  <r>
    <s v="Frontoffice"/>
    <s v="Gestion Ticket"/>
    <s v="ticketService"/>
    <s v="insertTicket"/>
    <s v="Metier"/>
    <x v="0"/>
    <n v="20"/>
    <n v="0"/>
    <n v="20"/>
    <n v="0"/>
  </r>
  <r>
    <s v="Frontoffice"/>
    <s v="Gestion Ticket"/>
    <s v="ticketformView"/>
    <s v="Integration"/>
    <s v="Integration"/>
    <x v="0"/>
    <n v="15"/>
    <n v="0"/>
    <n v="15"/>
    <n v="0"/>
  </r>
  <r>
    <m/>
    <m/>
    <m/>
    <m/>
    <m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cap" cacheId="39" applyNumberFormats="0" applyBorderFormats="0" applyFontFormats="0" applyPatternFormats="0" applyAlignmentFormats="0" applyWidthHeightFormats="0" dataCaption="" updatedVersion="7" compact="0" compactData="0">
  <location ref="A1:D5" firstHeaderRow="1" firstDataRow="2" firstDataCol="1"/>
  <pivotFields count="10">
    <pivotField name="Catégorie" compact="0" outline="0" multipleItemSelectionAllowed="1" showAll="0"/>
    <pivotField name="Module" compact="0" outline="0" multipleItemSelectionAllowed="1" showAll="0"/>
    <pivotField name="Page" compact="0" outline="0" multipleItemSelectionAllowed="1" showAll="0"/>
    <pivotField name="Description tâche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 sortType="ascending">
      <items count="7">
        <item x="0"/>
        <item m="1" x="4"/>
        <item m="1" x="2"/>
        <item m="1" x="5"/>
        <item m="1" x="3"/>
        <item x="1"/>
        <item t="default"/>
      </items>
    </pivotField>
    <pivotField name="Estimation" dataField="1" compact="0" outline="0" multipleItemSelectionAllowed="1" showAll="0"/>
    <pivotField name="Temps passé" dataField="1" compact="0" outline="0" multipleItemSelectionAllowed="1" showAll="0"/>
    <pivotField name="Reste à faire" dataField="1" compact="0" outline="0" multipleItemSelectionAllowed="1" showAll="0"/>
    <pivotField name="Avancement" compact="0" numFmtId="10" outline="0" multipleItemSelectionAllowed="1" showAll="0"/>
  </pivotFields>
  <rowFields count="1">
    <field x="5"/>
  </rowFields>
  <rowItems count="3">
    <i>
      <x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" fld="6" baseField="0"/>
    <dataField name="SUM of Temps passé" fld="7" baseField="0"/>
    <dataField name="SUM of Reste à faire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>
      <selection activeCell="B10" sqref="B10"/>
    </sheetView>
  </sheetViews>
  <sheetFormatPr baseColWidth="10" defaultColWidth="12.5703125" defaultRowHeight="15.75" customHeight="1"/>
  <sheetData>
    <row r="1" spans="1:2">
      <c r="A1" s="1" t="s">
        <v>28</v>
      </c>
      <c r="B1" s="1" t="s">
        <v>29</v>
      </c>
    </row>
    <row r="2" spans="1:2">
      <c r="A2" s="1"/>
      <c r="B2" s="1"/>
    </row>
    <row r="3" spans="1:2">
      <c r="A3" s="1"/>
      <c r="B3" s="1"/>
    </row>
    <row r="4" spans="1:2">
      <c r="A4" s="1"/>
      <c r="B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78"/>
  <sheetViews>
    <sheetView zoomScale="82" zoomScaleNormal="82" workbookViewId="0">
      <selection activeCell="H6" sqref="H6"/>
    </sheetView>
  </sheetViews>
  <sheetFormatPr baseColWidth="10" defaultColWidth="12.5703125" defaultRowHeight="15.75" customHeight="1"/>
  <cols>
    <col min="1" max="1" width="5.85546875" customWidth="1"/>
    <col min="2" max="2" width="19" customWidth="1"/>
    <col min="3" max="3" width="18" customWidth="1"/>
    <col min="5" max="5" width="16.42578125" customWidth="1"/>
  </cols>
  <sheetData>
    <row r="1" spans="1:11" ht="15.7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2.75">
      <c r="A2" s="5">
        <v>1</v>
      </c>
      <c r="B2" s="5" t="s">
        <v>11</v>
      </c>
      <c r="C2" s="41" t="s">
        <v>30</v>
      </c>
      <c r="D2" s="41" t="s">
        <v>31</v>
      </c>
      <c r="E2" s="7" t="s">
        <v>32</v>
      </c>
      <c r="F2" s="8" t="s">
        <v>12</v>
      </c>
      <c r="G2" s="41" t="s">
        <v>28</v>
      </c>
      <c r="H2" s="6">
        <v>5</v>
      </c>
      <c r="I2" s="9">
        <f>detail_avancement!B2</f>
        <v>5</v>
      </c>
      <c r="J2" s="9">
        <f t="shared" ref="J2:J32" si="0">H2-I2</f>
        <v>0</v>
      </c>
      <c r="K2" s="10">
        <f t="shared" ref="K2:K32" si="1">(I2/(I2+J2))</f>
        <v>1</v>
      </c>
    </row>
    <row r="3" spans="1:11" ht="12.75">
      <c r="A3" s="5">
        <v>2</v>
      </c>
      <c r="B3" s="5" t="s">
        <v>11</v>
      </c>
      <c r="C3" s="8" t="s">
        <v>30</v>
      </c>
      <c r="D3" s="41" t="s">
        <v>33</v>
      </c>
      <c r="E3" s="7" t="s">
        <v>34</v>
      </c>
      <c r="F3" s="8" t="s">
        <v>13</v>
      </c>
      <c r="G3" s="41" t="s">
        <v>28</v>
      </c>
      <c r="H3" s="6">
        <v>20</v>
      </c>
      <c r="I3" s="11">
        <f>detail_avancement!B3</f>
        <v>20</v>
      </c>
      <c r="J3" s="11">
        <f t="shared" si="0"/>
        <v>0</v>
      </c>
      <c r="K3" s="10">
        <f t="shared" si="1"/>
        <v>1</v>
      </c>
    </row>
    <row r="4" spans="1:11" ht="12.75">
      <c r="A4" s="5">
        <v>3</v>
      </c>
      <c r="B4" s="5" t="s">
        <v>11</v>
      </c>
      <c r="C4" s="8" t="s">
        <v>30</v>
      </c>
      <c r="D4" s="42" t="s">
        <v>31</v>
      </c>
      <c r="E4" s="7" t="s">
        <v>32</v>
      </c>
      <c r="F4" s="8" t="s">
        <v>14</v>
      </c>
      <c r="G4" s="41" t="s">
        <v>28</v>
      </c>
      <c r="H4" s="6">
        <v>10</v>
      </c>
      <c r="I4" s="11">
        <f>detail_avancement!B4</f>
        <v>10</v>
      </c>
      <c r="J4" s="11">
        <f t="shared" si="0"/>
        <v>0</v>
      </c>
      <c r="K4" s="10">
        <f t="shared" si="1"/>
        <v>1</v>
      </c>
    </row>
    <row r="5" spans="1:11" ht="12.75">
      <c r="A5" s="5">
        <v>4</v>
      </c>
      <c r="B5" s="5" t="s">
        <v>11</v>
      </c>
      <c r="C5" s="8" t="s">
        <v>35</v>
      </c>
      <c r="D5" s="42" t="s">
        <v>36</v>
      </c>
      <c r="E5" s="7" t="s">
        <v>37</v>
      </c>
      <c r="F5" s="8" t="s">
        <v>12</v>
      </c>
      <c r="G5" s="41" t="s">
        <v>28</v>
      </c>
      <c r="H5" s="6">
        <v>15</v>
      </c>
      <c r="I5" s="11">
        <f>detail_avancement!B5</f>
        <v>15</v>
      </c>
      <c r="J5" s="11">
        <f t="shared" si="0"/>
        <v>0</v>
      </c>
      <c r="K5" s="10">
        <f t="shared" si="1"/>
        <v>1</v>
      </c>
    </row>
    <row r="6" spans="1:11" ht="12.75">
      <c r="A6" s="5">
        <v>5</v>
      </c>
      <c r="B6" s="5" t="s">
        <v>11</v>
      </c>
      <c r="C6" s="8" t="s">
        <v>35</v>
      </c>
      <c r="D6" s="42" t="s">
        <v>38</v>
      </c>
      <c r="E6" s="7" t="s">
        <v>39</v>
      </c>
      <c r="F6" s="8" t="s">
        <v>13</v>
      </c>
      <c r="G6" s="41" t="s">
        <v>28</v>
      </c>
      <c r="H6" s="6">
        <v>50</v>
      </c>
      <c r="I6" s="11">
        <f>detail_avancement!B6</f>
        <v>75</v>
      </c>
      <c r="J6" s="11">
        <f t="shared" si="0"/>
        <v>-25</v>
      </c>
      <c r="K6" s="10">
        <f t="shared" si="1"/>
        <v>1.5</v>
      </c>
    </row>
    <row r="7" spans="1:11" ht="12.75">
      <c r="A7" s="5">
        <v>6</v>
      </c>
      <c r="B7" s="5" t="s">
        <v>11</v>
      </c>
      <c r="C7" s="8" t="s">
        <v>35</v>
      </c>
      <c r="D7" s="42" t="s">
        <v>38</v>
      </c>
      <c r="E7" s="8" t="s">
        <v>39</v>
      </c>
      <c r="F7" s="8" t="s">
        <v>13</v>
      </c>
      <c r="G7" s="41" t="s">
        <v>28</v>
      </c>
      <c r="H7" s="6">
        <v>50</v>
      </c>
      <c r="I7" s="11">
        <f>detail_avancement!B7</f>
        <v>0</v>
      </c>
      <c r="J7" s="11">
        <f t="shared" si="0"/>
        <v>50</v>
      </c>
      <c r="K7" s="10">
        <f t="shared" si="1"/>
        <v>0</v>
      </c>
    </row>
    <row r="8" spans="1:11" ht="12.75">
      <c r="A8" s="5">
        <v>7</v>
      </c>
      <c r="B8" s="5" t="s">
        <v>11</v>
      </c>
      <c r="C8" s="8" t="s">
        <v>35</v>
      </c>
      <c r="D8" s="42" t="s">
        <v>38</v>
      </c>
      <c r="E8" s="8" t="s">
        <v>39</v>
      </c>
      <c r="F8" s="8" t="s">
        <v>13</v>
      </c>
      <c r="G8" s="41" t="s">
        <v>28</v>
      </c>
      <c r="H8" s="6">
        <v>50</v>
      </c>
      <c r="I8" s="11">
        <f>detail_avancement!B8</f>
        <v>0</v>
      </c>
      <c r="J8" s="11">
        <f t="shared" si="0"/>
        <v>50</v>
      </c>
      <c r="K8" s="10">
        <f t="shared" si="1"/>
        <v>0</v>
      </c>
    </row>
    <row r="9" spans="1:11" ht="12.75">
      <c r="A9" s="5">
        <v>8</v>
      </c>
      <c r="B9" s="5" t="s">
        <v>11</v>
      </c>
      <c r="C9" s="8" t="s">
        <v>35</v>
      </c>
      <c r="D9" s="42" t="s">
        <v>38</v>
      </c>
      <c r="E9" s="8" t="s">
        <v>40</v>
      </c>
      <c r="F9" s="8" t="s">
        <v>13</v>
      </c>
      <c r="G9" s="41" t="s">
        <v>28</v>
      </c>
      <c r="H9" s="6">
        <v>50</v>
      </c>
      <c r="I9" s="11">
        <f>detail_avancement!B9</f>
        <v>0</v>
      </c>
      <c r="J9" s="11">
        <f t="shared" si="0"/>
        <v>50</v>
      </c>
      <c r="K9" s="10">
        <f t="shared" si="1"/>
        <v>0</v>
      </c>
    </row>
    <row r="10" spans="1:11" ht="12.75">
      <c r="A10" s="5">
        <v>9</v>
      </c>
      <c r="B10" s="5" t="s">
        <v>11</v>
      </c>
      <c r="C10" s="8" t="s">
        <v>35</v>
      </c>
      <c r="D10" s="42" t="s">
        <v>36</v>
      </c>
      <c r="E10" s="8" t="s">
        <v>14</v>
      </c>
      <c r="F10" s="42" t="s">
        <v>14</v>
      </c>
      <c r="G10" s="41" t="s">
        <v>28</v>
      </c>
      <c r="H10" s="6">
        <v>15</v>
      </c>
      <c r="I10" s="11">
        <f>detail_avancement!B10</f>
        <v>0</v>
      </c>
      <c r="J10" s="11">
        <f t="shared" si="0"/>
        <v>15</v>
      </c>
      <c r="K10" s="10">
        <f t="shared" si="1"/>
        <v>0</v>
      </c>
    </row>
    <row r="11" spans="1:11" ht="12.75">
      <c r="A11" s="5">
        <v>10</v>
      </c>
      <c r="B11" s="5" t="s">
        <v>11</v>
      </c>
      <c r="C11" s="44" t="s">
        <v>41</v>
      </c>
      <c r="D11" s="44" t="s">
        <v>42</v>
      </c>
      <c r="E11" s="44" t="s">
        <v>43</v>
      </c>
      <c r="F11" s="44" t="s">
        <v>12</v>
      </c>
      <c r="G11" s="41" t="s">
        <v>28</v>
      </c>
      <c r="H11" s="12">
        <v>5</v>
      </c>
      <c r="I11" s="11">
        <f>detail_avancement!B11</f>
        <v>5</v>
      </c>
      <c r="J11" s="11">
        <f t="shared" si="0"/>
        <v>0</v>
      </c>
      <c r="K11" s="10">
        <f t="shared" si="1"/>
        <v>1</v>
      </c>
    </row>
    <row r="12" spans="1:11" ht="12.75">
      <c r="A12" s="5">
        <v>11</v>
      </c>
      <c r="B12" s="5" t="s">
        <v>11</v>
      </c>
      <c r="C12" s="44" t="s">
        <v>41</v>
      </c>
      <c r="D12" s="44" t="s">
        <v>44</v>
      </c>
      <c r="E12" s="44" t="s">
        <v>45</v>
      </c>
      <c r="F12" s="44" t="s">
        <v>14</v>
      </c>
      <c r="G12" s="41" t="s">
        <v>28</v>
      </c>
      <c r="H12" s="12">
        <v>20</v>
      </c>
      <c r="I12" s="11">
        <f>detail_avancement!B12</f>
        <v>20</v>
      </c>
      <c r="J12" s="11">
        <f t="shared" si="0"/>
        <v>0</v>
      </c>
      <c r="K12" s="10">
        <f t="shared" si="1"/>
        <v>1</v>
      </c>
    </row>
    <row r="13" spans="1:11" ht="12.75">
      <c r="A13" s="5">
        <v>12</v>
      </c>
      <c r="B13" s="5" t="s">
        <v>11</v>
      </c>
      <c r="C13" s="44" t="s">
        <v>41</v>
      </c>
      <c r="D13" s="44" t="s">
        <v>42</v>
      </c>
      <c r="E13" s="44" t="s">
        <v>14</v>
      </c>
      <c r="F13" s="44" t="s">
        <v>14</v>
      </c>
      <c r="G13" s="41" t="s">
        <v>28</v>
      </c>
      <c r="H13" s="12">
        <v>5</v>
      </c>
      <c r="I13" s="11">
        <f>detail_avancement!B13</f>
        <v>9</v>
      </c>
      <c r="J13" s="11">
        <f t="shared" si="0"/>
        <v>-4</v>
      </c>
      <c r="K13" s="10">
        <f t="shared" si="1"/>
        <v>1.8</v>
      </c>
    </row>
    <row r="14" spans="1:11" ht="12.75">
      <c r="A14" s="5">
        <v>13</v>
      </c>
      <c r="B14" s="5" t="s">
        <v>11</v>
      </c>
      <c r="C14" s="44" t="s">
        <v>46</v>
      </c>
      <c r="D14" s="44" t="s">
        <v>49</v>
      </c>
      <c r="E14" s="44" t="s">
        <v>47</v>
      </c>
      <c r="F14" s="44" t="s">
        <v>12</v>
      </c>
      <c r="G14" s="41" t="s">
        <v>28</v>
      </c>
      <c r="H14" s="12">
        <v>10</v>
      </c>
      <c r="I14" s="11">
        <f>detail_avancement!B14</f>
        <v>0</v>
      </c>
      <c r="J14" s="11">
        <f t="shared" si="0"/>
        <v>10</v>
      </c>
      <c r="K14" s="10">
        <f t="shared" si="1"/>
        <v>0</v>
      </c>
    </row>
    <row r="15" spans="1:11" ht="12.75">
      <c r="A15" s="5">
        <v>14</v>
      </c>
      <c r="B15" s="5" t="s">
        <v>11</v>
      </c>
      <c r="C15" s="44" t="s">
        <v>46</v>
      </c>
      <c r="D15" s="44" t="s">
        <v>48</v>
      </c>
      <c r="E15" s="44" t="s">
        <v>50</v>
      </c>
      <c r="F15" s="44" t="s">
        <v>13</v>
      </c>
      <c r="G15" s="41" t="s">
        <v>28</v>
      </c>
      <c r="H15" s="12">
        <v>10</v>
      </c>
      <c r="I15" s="11">
        <f>detail_avancement!B15</f>
        <v>0</v>
      </c>
      <c r="J15" s="11">
        <f t="shared" si="0"/>
        <v>10</v>
      </c>
      <c r="K15" s="10">
        <f t="shared" si="1"/>
        <v>0</v>
      </c>
    </row>
    <row r="16" spans="1:11" ht="12.75">
      <c r="A16" s="5">
        <v>15</v>
      </c>
      <c r="B16" s="5" t="s">
        <v>11</v>
      </c>
      <c r="C16" s="44" t="s">
        <v>46</v>
      </c>
      <c r="D16" s="44" t="s">
        <v>48</v>
      </c>
      <c r="E16" s="44" t="s">
        <v>51</v>
      </c>
      <c r="F16" s="44" t="s">
        <v>13</v>
      </c>
      <c r="G16" s="41" t="s">
        <v>28</v>
      </c>
      <c r="H16" s="12">
        <v>10</v>
      </c>
      <c r="I16" s="11">
        <f>detail_avancement!B16</f>
        <v>0</v>
      </c>
      <c r="J16" s="11">
        <f t="shared" si="0"/>
        <v>10</v>
      </c>
      <c r="K16" s="10">
        <f t="shared" si="1"/>
        <v>0</v>
      </c>
    </row>
    <row r="17" spans="1:11" ht="12.75">
      <c r="A17" s="5">
        <v>16</v>
      </c>
      <c r="B17" s="5" t="s">
        <v>11</v>
      </c>
      <c r="C17" s="44" t="s">
        <v>46</v>
      </c>
      <c r="D17" s="44" t="s">
        <v>49</v>
      </c>
      <c r="E17" s="44" t="s">
        <v>14</v>
      </c>
      <c r="F17" s="44" t="s">
        <v>14</v>
      </c>
      <c r="G17" s="41" t="s">
        <v>28</v>
      </c>
      <c r="H17" s="12">
        <v>10</v>
      </c>
      <c r="I17" s="11">
        <f>detail_avancement!B17</f>
        <v>0</v>
      </c>
      <c r="J17" s="11">
        <f t="shared" si="0"/>
        <v>10</v>
      </c>
      <c r="K17" s="10">
        <f t="shared" si="1"/>
        <v>0</v>
      </c>
    </row>
    <row r="18" spans="1:11" ht="12.75">
      <c r="A18" s="5">
        <v>17</v>
      </c>
      <c r="B18" s="5" t="s">
        <v>11</v>
      </c>
      <c r="C18" s="44" t="s">
        <v>52</v>
      </c>
      <c r="D18" s="44" t="s">
        <v>53</v>
      </c>
      <c r="E18" s="44" t="s">
        <v>54</v>
      </c>
      <c r="F18" s="44" t="s">
        <v>12</v>
      </c>
      <c r="G18" s="41" t="s">
        <v>28</v>
      </c>
      <c r="H18" s="12">
        <v>10</v>
      </c>
      <c r="I18" s="11">
        <f>detail_avancement!B18</f>
        <v>0</v>
      </c>
      <c r="J18" s="11">
        <f t="shared" si="0"/>
        <v>10</v>
      </c>
      <c r="K18" s="10">
        <f t="shared" si="1"/>
        <v>0</v>
      </c>
    </row>
    <row r="19" spans="1:11" ht="12.75">
      <c r="A19" s="5">
        <v>18</v>
      </c>
      <c r="B19" s="5" t="s">
        <v>11</v>
      </c>
      <c r="C19" s="44" t="s">
        <v>52</v>
      </c>
      <c r="D19" s="44" t="s">
        <v>55</v>
      </c>
      <c r="E19" s="44" t="s">
        <v>56</v>
      </c>
      <c r="F19" s="44" t="s">
        <v>13</v>
      </c>
      <c r="G19" s="41" t="s">
        <v>28</v>
      </c>
      <c r="H19" s="12">
        <v>10</v>
      </c>
      <c r="I19" s="11">
        <f>detail_avancement!B19</f>
        <v>0</v>
      </c>
      <c r="J19" s="11">
        <f t="shared" si="0"/>
        <v>10</v>
      </c>
      <c r="K19" s="10">
        <f t="shared" si="1"/>
        <v>0</v>
      </c>
    </row>
    <row r="20" spans="1:11" ht="12.75">
      <c r="A20" s="5">
        <v>19</v>
      </c>
      <c r="B20" s="5" t="s">
        <v>11</v>
      </c>
      <c r="C20" s="44" t="s">
        <v>52</v>
      </c>
      <c r="D20" s="44" t="s">
        <v>53</v>
      </c>
      <c r="E20" s="44" t="s">
        <v>14</v>
      </c>
      <c r="F20" s="44" t="s">
        <v>14</v>
      </c>
      <c r="G20" s="41" t="s">
        <v>28</v>
      </c>
      <c r="H20" s="12">
        <v>5</v>
      </c>
      <c r="I20" s="11">
        <f>detail_avancement!B20</f>
        <v>0</v>
      </c>
      <c r="J20" s="11">
        <f t="shared" si="0"/>
        <v>5</v>
      </c>
      <c r="K20" s="10">
        <f t="shared" si="1"/>
        <v>0</v>
      </c>
    </row>
    <row r="21" spans="1:11" ht="15.75" customHeight="1">
      <c r="A21" s="5">
        <v>20</v>
      </c>
      <c r="B21" s="5" t="s">
        <v>11</v>
      </c>
      <c r="C21" s="44" t="s">
        <v>52</v>
      </c>
      <c r="D21" s="45" t="s">
        <v>58</v>
      </c>
      <c r="E21" s="45" t="s">
        <v>57</v>
      </c>
      <c r="F21" s="45" t="s">
        <v>12</v>
      </c>
      <c r="G21" s="41" t="s">
        <v>28</v>
      </c>
      <c r="H21" s="45">
        <v>10</v>
      </c>
      <c r="I21" s="11">
        <f>detail_avancement!B21</f>
        <v>0</v>
      </c>
      <c r="J21" s="11">
        <f t="shared" si="0"/>
        <v>10</v>
      </c>
      <c r="K21" s="10">
        <f t="shared" si="1"/>
        <v>0</v>
      </c>
    </row>
    <row r="22" spans="1:11" ht="15.75" customHeight="1">
      <c r="A22" s="5">
        <v>21</v>
      </c>
      <c r="B22" s="5" t="s">
        <v>11</v>
      </c>
      <c r="C22" s="44" t="s">
        <v>52</v>
      </c>
      <c r="D22" s="45" t="s">
        <v>55</v>
      </c>
      <c r="E22" s="45" t="s">
        <v>59</v>
      </c>
      <c r="F22" s="45" t="s">
        <v>13</v>
      </c>
      <c r="G22" s="41" t="s">
        <v>28</v>
      </c>
      <c r="H22" s="45">
        <v>10</v>
      </c>
      <c r="I22" s="11">
        <f>detail_avancement!B22</f>
        <v>0</v>
      </c>
      <c r="J22" s="11">
        <f t="shared" si="0"/>
        <v>10</v>
      </c>
      <c r="K22" s="10">
        <f t="shared" si="1"/>
        <v>0</v>
      </c>
    </row>
    <row r="23" spans="1:11" ht="15.75" customHeight="1">
      <c r="A23" s="5">
        <v>22</v>
      </c>
      <c r="B23" s="5" t="s">
        <v>11</v>
      </c>
      <c r="C23" s="44" t="s">
        <v>52</v>
      </c>
      <c r="D23" s="45" t="s">
        <v>58</v>
      </c>
      <c r="E23" s="45" t="s">
        <v>14</v>
      </c>
      <c r="F23" s="45" t="s">
        <v>14</v>
      </c>
      <c r="G23" s="41" t="s">
        <v>28</v>
      </c>
      <c r="H23" s="45">
        <v>5</v>
      </c>
      <c r="I23" s="11">
        <f>detail_avancement!B23</f>
        <v>0</v>
      </c>
      <c r="J23" s="11">
        <f t="shared" si="0"/>
        <v>5</v>
      </c>
      <c r="K23" s="10">
        <f t="shared" si="1"/>
        <v>0</v>
      </c>
    </row>
    <row r="24" spans="1:11" ht="15.75" customHeight="1">
      <c r="A24" s="5">
        <v>23</v>
      </c>
      <c r="B24" s="46" t="s">
        <v>60</v>
      </c>
      <c r="C24" s="45" t="s">
        <v>61</v>
      </c>
      <c r="D24" s="45" t="s">
        <v>62</v>
      </c>
      <c r="E24" s="45" t="s">
        <v>63</v>
      </c>
      <c r="F24" s="45" t="s">
        <v>12</v>
      </c>
      <c r="G24" s="41" t="s">
        <v>28</v>
      </c>
      <c r="H24" s="45">
        <v>15</v>
      </c>
      <c r="I24" s="11">
        <f>detail_avancement!B24</f>
        <v>0</v>
      </c>
      <c r="J24" s="11">
        <f t="shared" si="0"/>
        <v>15</v>
      </c>
      <c r="K24" s="10">
        <f t="shared" si="1"/>
        <v>0</v>
      </c>
    </row>
    <row r="25" spans="1:11" ht="15.75" customHeight="1">
      <c r="A25" s="5">
        <v>24</v>
      </c>
      <c r="B25" s="46" t="s">
        <v>60</v>
      </c>
      <c r="C25" s="45" t="s">
        <v>61</v>
      </c>
      <c r="D25" s="45" t="s">
        <v>64</v>
      </c>
      <c r="E25" s="45" t="s">
        <v>65</v>
      </c>
      <c r="F25" s="45" t="s">
        <v>13</v>
      </c>
      <c r="G25" s="41" t="s">
        <v>28</v>
      </c>
      <c r="H25" s="45">
        <v>20</v>
      </c>
      <c r="I25" s="11">
        <f>detail_avancement!B25</f>
        <v>0</v>
      </c>
      <c r="J25" s="11">
        <f t="shared" si="0"/>
        <v>20</v>
      </c>
      <c r="K25" s="10">
        <f t="shared" si="1"/>
        <v>0</v>
      </c>
    </row>
    <row r="26" spans="1:11" ht="15.75" customHeight="1">
      <c r="A26" s="5">
        <v>25</v>
      </c>
      <c r="B26" s="46" t="s">
        <v>60</v>
      </c>
      <c r="C26" s="45" t="s">
        <v>61</v>
      </c>
      <c r="D26" s="45" t="s">
        <v>62</v>
      </c>
      <c r="E26" s="45" t="s">
        <v>14</v>
      </c>
      <c r="F26" s="45" t="s">
        <v>14</v>
      </c>
      <c r="G26" s="41" t="s">
        <v>28</v>
      </c>
      <c r="H26" s="45">
        <v>10</v>
      </c>
      <c r="I26" s="11">
        <f>detail_avancement!B26</f>
        <v>0</v>
      </c>
      <c r="J26" s="11">
        <f t="shared" si="0"/>
        <v>10</v>
      </c>
      <c r="K26" s="10">
        <f t="shared" si="1"/>
        <v>0</v>
      </c>
    </row>
    <row r="27" spans="1:11" ht="15.75" customHeight="1">
      <c r="A27" s="5">
        <v>26</v>
      </c>
      <c r="B27" s="46" t="s">
        <v>60</v>
      </c>
      <c r="C27" s="45" t="s">
        <v>61</v>
      </c>
      <c r="D27" s="45" t="s">
        <v>62</v>
      </c>
      <c r="E27" s="45" t="s">
        <v>66</v>
      </c>
      <c r="F27" s="47" t="s">
        <v>12</v>
      </c>
      <c r="G27" s="41" t="s">
        <v>28</v>
      </c>
      <c r="H27" s="47">
        <v>5</v>
      </c>
      <c r="I27" s="11">
        <f>detail_avancement!B27</f>
        <v>0</v>
      </c>
      <c r="J27" s="11">
        <f t="shared" si="0"/>
        <v>5</v>
      </c>
      <c r="K27" s="10">
        <f t="shared" si="1"/>
        <v>0</v>
      </c>
    </row>
    <row r="28" spans="1:11" ht="15.75" customHeight="1">
      <c r="A28" s="5">
        <v>27</v>
      </c>
      <c r="B28" s="46" t="s">
        <v>60</v>
      </c>
      <c r="C28" s="45" t="s">
        <v>61</v>
      </c>
      <c r="D28" s="45" t="s">
        <v>64</v>
      </c>
      <c r="E28" s="45" t="s">
        <v>67</v>
      </c>
      <c r="F28" s="47" t="s">
        <v>13</v>
      </c>
      <c r="G28" s="41" t="s">
        <v>28</v>
      </c>
      <c r="H28" s="47">
        <v>25</v>
      </c>
      <c r="I28" s="11">
        <f>detail_avancement!B28</f>
        <v>0</v>
      </c>
      <c r="J28" s="11">
        <f t="shared" si="0"/>
        <v>25</v>
      </c>
      <c r="K28" s="10">
        <f t="shared" si="1"/>
        <v>0</v>
      </c>
    </row>
    <row r="29" spans="1:11" ht="15.75" customHeight="1">
      <c r="A29" s="5">
        <v>28</v>
      </c>
      <c r="B29" s="46" t="s">
        <v>60</v>
      </c>
      <c r="C29" s="47" t="s">
        <v>61</v>
      </c>
      <c r="D29" s="45" t="s">
        <v>62</v>
      </c>
      <c r="E29" s="45" t="s">
        <v>14</v>
      </c>
      <c r="F29" s="47" t="s">
        <v>14</v>
      </c>
      <c r="G29" s="41" t="s">
        <v>28</v>
      </c>
      <c r="H29" s="47">
        <v>5</v>
      </c>
      <c r="I29" s="11">
        <f>detail_avancement!B29</f>
        <v>0</v>
      </c>
      <c r="J29" s="11">
        <f t="shared" si="0"/>
        <v>5</v>
      </c>
      <c r="K29" s="10">
        <f t="shared" si="1"/>
        <v>0</v>
      </c>
    </row>
    <row r="30" spans="1:11" ht="15.75" customHeight="1">
      <c r="A30" s="5">
        <v>29</v>
      </c>
      <c r="B30" s="46" t="s">
        <v>60</v>
      </c>
      <c r="C30" s="47" t="s">
        <v>52</v>
      </c>
      <c r="D30" s="45" t="s">
        <v>68</v>
      </c>
      <c r="E30" s="45" t="s">
        <v>69</v>
      </c>
      <c r="F30" s="47" t="s">
        <v>12</v>
      </c>
      <c r="G30" s="41" t="s">
        <v>28</v>
      </c>
      <c r="H30" s="47">
        <v>20</v>
      </c>
      <c r="I30" s="11">
        <f>detail_avancement!B30</f>
        <v>0</v>
      </c>
      <c r="J30" s="11">
        <f t="shared" si="0"/>
        <v>20</v>
      </c>
      <c r="K30" s="10">
        <f t="shared" si="1"/>
        <v>0</v>
      </c>
    </row>
    <row r="31" spans="1:11" ht="15.75" customHeight="1">
      <c r="A31" s="5">
        <v>30</v>
      </c>
      <c r="B31" s="46" t="s">
        <v>60</v>
      </c>
      <c r="C31" s="47" t="s">
        <v>52</v>
      </c>
      <c r="D31" s="45" t="s">
        <v>55</v>
      </c>
      <c r="E31" s="45" t="s">
        <v>70</v>
      </c>
      <c r="F31" s="47" t="s">
        <v>13</v>
      </c>
      <c r="G31" s="41" t="s">
        <v>28</v>
      </c>
      <c r="H31" s="47">
        <v>20</v>
      </c>
      <c r="I31" s="11">
        <f>detail_avancement!B31</f>
        <v>0</v>
      </c>
      <c r="J31" s="11">
        <f t="shared" si="0"/>
        <v>20</v>
      </c>
      <c r="K31" s="10">
        <f t="shared" si="1"/>
        <v>0</v>
      </c>
    </row>
    <row r="32" spans="1:11" ht="15.75" customHeight="1">
      <c r="A32" s="5">
        <v>31</v>
      </c>
      <c r="B32" s="46" t="s">
        <v>60</v>
      </c>
      <c r="C32" s="47" t="s">
        <v>52</v>
      </c>
      <c r="D32" s="45" t="s">
        <v>68</v>
      </c>
      <c r="E32" s="45" t="s">
        <v>14</v>
      </c>
      <c r="F32" s="47" t="s">
        <v>14</v>
      </c>
      <c r="G32" s="41" t="s">
        <v>28</v>
      </c>
      <c r="H32" s="47">
        <v>15</v>
      </c>
      <c r="I32" s="11">
        <f>detail_avancement!B32</f>
        <v>0</v>
      </c>
      <c r="J32" s="11">
        <f t="shared" si="0"/>
        <v>15</v>
      </c>
      <c r="K32" s="10">
        <f t="shared" si="1"/>
        <v>0</v>
      </c>
    </row>
    <row r="33" spans="1:1" ht="15.75" customHeight="1">
      <c r="A33" s="5">
        <v>32</v>
      </c>
    </row>
    <row r="34" spans="1:1" ht="15.75" customHeight="1">
      <c r="A34" s="5">
        <v>33</v>
      </c>
    </row>
    <row r="35" spans="1:1" ht="15.75" customHeight="1">
      <c r="A35" s="5">
        <v>34</v>
      </c>
    </row>
    <row r="36" spans="1:1" ht="15.75" customHeight="1">
      <c r="A36" s="5">
        <v>35</v>
      </c>
    </row>
    <row r="37" spans="1:1" ht="15.75" customHeight="1">
      <c r="A37" s="5">
        <v>36</v>
      </c>
    </row>
    <row r="38" spans="1:1" ht="15.75" customHeight="1">
      <c r="A38" s="5">
        <v>37</v>
      </c>
    </row>
    <row r="39" spans="1:1" ht="15.75" customHeight="1">
      <c r="A39" s="5">
        <v>38</v>
      </c>
    </row>
    <row r="40" spans="1:1" ht="15.75" customHeight="1">
      <c r="A40" s="5">
        <v>39</v>
      </c>
    </row>
    <row r="41" spans="1:1" ht="15.75" customHeight="1">
      <c r="A41" s="5">
        <v>40</v>
      </c>
    </row>
    <row r="42" spans="1:1" ht="15.75" customHeight="1">
      <c r="A42" s="5">
        <v>41</v>
      </c>
    </row>
    <row r="43" spans="1:1" ht="15.75" customHeight="1">
      <c r="A43" s="5">
        <v>42</v>
      </c>
    </row>
    <row r="44" spans="1:1" ht="15.75" customHeight="1">
      <c r="A44" s="5">
        <v>43</v>
      </c>
    </row>
    <row r="45" spans="1:1" ht="15.75" customHeight="1">
      <c r="A45" s="5">
        <v>44</v>
      </c>
    </row>
    <row r="46" spans="1:1" ht="15.75" customHeight="1">
      <c r="A46" s="5">
        <v>45</v>
      </c>
    </row>
    <row r="47" spans="1:1" ht="15.75" customHeight="1">
      <c r="A47" s="5">
        <v>46</v>
      </c>
    </row>
    <row r="48" spans="1:1" ht="15.75" customHeight="1">
      <c r="A48" s="5">
        <v>47</v>
      </c>
    </row>
    <row r="49" spans="1:1" ht="15.75" customHeight="1">
      <c r="A49" s="5">
        <v>48</v>
      </c>
    </row>
    <row r="50" spans="1:1" ht="15.75" customHeight="1">
      <c r="A50" s="5">
        <v>49</v>
      </c>
    </row>
    <row r="51" spans="1:1" ht="15.75" customHeight="1">
      <c r="A51" s="5">
        <v>50</v>
      </c>
    </row>
    <row r="52" spans="1:1" ht="15.75" customHeight="1">
      <c r="A52" s="5">
        <v>51</v>
      </c>
    </row>
    <row r="53" spans="1:1" ht="15.75" customHeight="1">
      <c r="A53" s="5">
        <v>52</v>
      </c>
    </row>
    <row r="54" spans="1:1" ht="15.75" customHeight="1">
      <c r="A54" s="5">
        <v>53</v>
      </c>
    </row>
    <row r="55" spans="1:1" ht="15.75" customHeight="1">
      <c r="A55" s="5">
        <v>54</v>
      </c>
    </row>
    <row r="56" spans="1:1" ht="15.75" customHeight="1">
      <c r="A56" s="5">
        <v>55</v>
      </c>
    </row>
    <row r="57" spans="1:1" ht="15.75" customHeight="1">
      <c r="A57" s="5">
        <v>56</v>
      </c>
    </row>
    <row r="58" spans="1:1" ht="15.75" customHeight="1">
      <c r="A58" s="5">
        <v>57</v>
      </c>
    </row>
    <row r="59" spans="1:1" ht="15.75" customHeight="1">
      <c r="A59" s="5">
        <v>58</v>
      </c>
    </row>
    <row r="60" spans="1:1" ht="15.75" customHeight="1">
      <c r="A60" s="5">
        <v>59</v>
      </c>
    </row>
    <row r="61" spans="1:1" ht="15.75" customHeight="1">
      <c r="A61" s="5">
        <v>60</v>
      </c>
    </row>
    <row r="62" spans="1:1" ht="15.75" customHeight="1">
      <c r="A62" s="5">
        <v>61</v>
      </c>
    </row>
    <row r="63" spans="1:1" ht="15.75" customHeight="1">
      <c r="A63" s="5">
        <v>62</v>
      </c>
    </row>
    <row r="64" spans="1:1" ht="15.75" customHeight="1">
      <c r="A64" s="5">
        <v>63</v>
      </c>
    </row>
    <row r="65" spans="1:1" ht="15.75" customHeight="1">
      <c r="A65" s="5">
        <v>64</v>
      </c>
    </row>
    <row r="66" spans="1:1" ht="15.75" customHeight="1">
      <c r="A66" s="5">
        <v>65</v>
      </c>
    </row>
    <row r="67" spans="1:1" ht="15.75" customHeight="1">
      <c r="A67" s="5">
        <v>66</v>
      </c>
    </row>
    <row r="68" spans="1:1" ht="15.75" customHeight="1">
      <c r="A68" s="5">
        <v>67</v>
      </c>
    </row>
    <row r="69" spans="1:1" ht="15.75" customHeight="1">
      <c r="A69" s="5">
        <v>68</v>
      </c>
    </row>
    <row r="70" spans="1:1" ht="15.75" customHeight="1">
      <c r="A70" s="5">
        <v>69</v>
      </c>
    </row>
    <row r="71" spans="1:1" ht="15.75" customHeight="1">
      <c r="A71" s="5">
        <v>70</v>
      </c>
    </row>
    <row r="72" spans="1:1" ht="15.75" customHeight="1">
      <c r="A72" s="5">
        <v>71</v>
      </c>
    </row>
    <row r="73" spans="1:1" ht="15.75" customHeight="1">
      <c r="A73" s="5">
        <v>72</v>
      </c>
    </row>
    <row r="74" spans="1:1" ht="15.75" customHeight="1">
      <c r="A74" s="5">
        <v>73</v>
      </c>
    </row>
    <row r="75" spans="1:1" ht="15.75" customHeight="1">
      <c r="A75" s="5">
        <v>74</v>
      </c>
    </row>
    <row r="76" spans="1:1" ht="15.75" customHeight="1">
      <c r="A76" s="5">
        <v>75</v>
      </c>
    </row>
    <row r="77" spans="1:1" ht="15.75" customHeight="1">
      <c r="A77" s="5">
        <v>76</v>
      </c>
    </row>
    <row r="78" spans="1:1" ht="15.75" customHeight="1">
      <c r="A78" s="5">
        <v>77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showGridLines="0" workbookViewId="0">
      <selection activeCell="D16" sqref="D16"/>
    </sheetView>
  </sheetViews>
  <sheetFormatPr baseColWidth="10" defaultColWidth="12.5703125" defaultRowHeight="15.75" customHeight="1"/>
  <sheetData>
    <row r="1" spans="1:4">
      <c r="A1" s="24"/>
      <c r="B1" s="25" t="s">
        <v>23</v>
      </c>
      <c r="C1" s="26"/>
      <c r="D1" s="27"/>
    </row>
    <row r="2" spans="1:4">
      <c r="A2" s="25" t="s">
        <v>6</v>
      </c>
      <c r="B2" s="24" t="s">
        <v>24</v>
      </c>
      <c r="C2" s="28" t="s">
        <v>25</v>
      </c>
      <c r="D2" s="29" t="s">
        <v>26</v>
      </c>
    </row>
    <row r="3" spans="1:4">
      <c r="A3" s="24" t="s">
        <v>28</v>
      </c>
      <c r="B3" s="30">
        <v>520</v>
      </c>
      <c r="C3" s="31">
        <v>159</v>
      </c>
      <c r="D3" s="32">
        <v>361</v>
      </c>
    </row>
    <row r="4" spans="1:4">
      <c r="A4" s="33" t="s">
        <v>27</v>
      </c>
      <c r="B4" s="34"/>
      <c r="C4" s="35"/>
      <c r="D4" s="36"/>
    </row>
    <row r="5" spans="1:4">
      <c r="A5" s="37" t="s">
        <v>15</v>
      </c>
      <c r="B5" s="38">
        <v>520</v>
      </c>
      <c r="C5" s="39">
        <v>159</v>
      </c>
      <c r="D5" s="40">
        <v>361</v>
      </c>
    </row>
    <row r="7" spans="1:4" ht="15.75" customHeight="1">
      <c r="B7" s="43"/>
    </row>
    <row r="12" spans="1:4">
      <c r="A12" s="13" t="s">
        <v>10</v>
      </c>
      <c r="B12" s="14">
        <f>avancement!D2</f>
        <v>0.30576923076923079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"/>
  <sheetViews>
    <sheetView tabSelected="1" workbookViewId="0">
      <selection activeCell="C10" sqref="C10"/>
    </sheetView>
  </sheetViews>
  <sheetFormatPr baseColWidth="10" defaultColWidth="12.5703125" defaultRowHeight="15.75" customHeight="1"/>
  <cols>
    <col min="1" max="1" width="15.7109375" customWidth="1"/>
    <col min="2" max="2" width="17.85546875" customWidth="1"/>
    <col min="3" max="3" width="17" customWidth="1"/>
    <col min="4" max="4" width="18.28515625" customWidth="1"/>
    <col min="5" max="5" width="13.7109375" customWidth="1"/>
  </cols>
  <sheetData>
    <row r="1" spans="1:5" ht="15.75" customHeight="1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20</v>
      </c>
    </row>
    <row r="2" spans="1:5" ht="15">
      <c r="A2" s="16">
        <f>SUM('liste des taches'!H:H)</f>
        <v>520</v>
      </c>
      <c r="B2" s="16">
        <f>SUM('liste des taches'!I:I)</f>
        <v>159</v>
      </c>
      <c r="C2" s="16">
        <f>SUM('liste des taches'!J:J)</f>
        <v>361</v>
      </c>
      <c r="D2" s="17">
        <f>(B2/(B2+C2))</f>
        <v>0.30576923076923079</v>
      </c>
      <c r="E2" s="18">
        <f>((B2+C2)-A2)/A2</f>
        <v>0</v>
      </c>
    </row>
    <row r="3" spans="1:5" ht="15">
      <c r="A3" s="19">
        <f>A2/60</f>
        <v>8.6666666666666661</v>
      </c>
      <c r="B3" s="19"/>
      <c r="C3" s="16">
        <f>C2/60</f>
        <v>6.0166666666666666</v>
      </c>
      <c r="D3" s="19" t="s">
        <v>21</v>
      </c>
      <c r="E3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26"/>
  <sheetViews>
    <sheetView workbookViewId="0">
      <selection activeCell="C4" sqref="C4"/>
    </sheetView>
  </sheetViews>
  <sheetFormatPr baseColWidth="10" defaultColWidth="12.5703125" defaultRowHeight="15.75" customHeight="1"/>
  <sheetData>
    <row r="1" spans="1:5" ht="15.75" customHeight="1">
      <c r="A1" s="20" t="s">
        <v>0</v>
      </c>
      <c r="B1" s="21" t="s">
        <v>22</v>
      </c>
      <c r="C1" s="22">
        <v>46147</v>
      </c>
      <c r="D1" s="22">
        <v>46148</v>
      </c>
      <c r="E1" s="22">
        <v>46149</v>
      </c>
    </row>
    <row r="2" spans="1:5" ht="15">
      <c r="A2" s="23">
        <v>1</v>
      </c>
      <c r="B2" s="16">
        <f>SUM(C2:C2)</f>
        <v>5</v>
      </c>
      <c r="C2" s="19">
        <v>5</v>
      </c>
      <c r="D2" s="23"/>
      <c r="E2" s="19"/>
    </row>
    <row r="3" spans="1:5" ht="15">
      <c r="A3" s="23">
        <v>2</v>
      </c>
      <c r="B3" s="16">
        <f t="shared" ref="B3:B26" si="0">SUM(C3:C3)</f>
        <v>20</v>
      </c>
      <c r="C3" s="19">
        <v>20</v>
      </c>
      <c r="D3" s="23"/>
      <c r="E3" s="19"/>
    </row>
    <row r="4" spans="1:5" ht="15">
      <c r="A4" s="23">
        <v>3</v>
      </c>
      <c r="B4" s="16">
        <f t="shared" si="0"/>
        <v>10</v>
      </c>
      <c r="C4" s="23">
        <v>10</v>
      </c>
      <c r="D4" s="23"/>
      <c r="E4" s="19"/>
    </row>
    <row r="5" spans="1:5" ht="15">
      <c r="A5" s="23">
        <v>4</v>
      </c>
      <c r="B5" s="16">
        <f t="shared" si="0"/>
        <v>15</v>
      </c>
      <c r="C5" s="19">
        <v>15</v>
      </c>
      <c r="D5" s="23"/>
      <c r="E5" s="19"/>
    </row>
    <row r="6" spans="1:5" ht="15">
      <c r="A6" s="23">
        <v>5</v>
      </c>
      <c r="B6" s="16">
        <f t="shared" si="0"/>
        <v>75</v>
      </c>
      <c r="C6" s="19">
        <v>75</v>
      </c>
      <c r="D6" s="23"/>
      <c r="E6" s="19"/>
    </row>
    <row r="7" spans="1:5" ht="15">
      <c r="A7" s="23">
        <v>6</v>
      </c>
      <c r="B7" s="16">
        <f t="shared" si="0"/>
        <v>0</v>
      </c>
      <c r="C7" s="19"/>
      <c r="D7" s="23"/>
      <c r="E7" s="19"/>
    </row>
    <row r="8" spans="1:5" ht="15">
      <c r="A8" s="23">
        <v>7</v>
      </c>
      <c r="B8" s="16">
        <f t="shared" si="0"/>
        <v>0</v>
      </c>
      <c r="C8" s="19"/>
      <c r="D8" s="23"/>
      <c r="E8" s="19"/>
    </row>
    <row r="9" spans="1:5" ht="15">
      <c r="A9" s="23">
        <v>8</v>
      </c>
      <c r="B9" s="16">
        <f t="shared" si="0"/>
        <v>0</v>
      </c>
      <c r="D9" s="23"/>
    </row>
    <row r="10" spans="1:5" ht="15">
      <c r="A10" s="23">
        <v>9</v>
      </c>
      <c r="B10" s="16">
        <f t="shared" si="0"/>
        <v>0</v>
      </c>
    </row>
    <row r="11" spans="1:5" ht="15.75" customHeight="1">
      <c r="A11" s="23">
        <v>10</v>
      </c>
      <c r="B11" s="16">
        <f t="shared" si="0"/>
        <v>5</v>
      </c>
      <c r="C11">
        <v>5</v>
      </c>
    </row>
    <row r="12" spans="1:5" ht="15.75" customHeight="1">
      <c r="A12" s="23">
        <v>11</v>
      </c>
      <c r="B12" s="16">
        <f t="shared" si="0"/>
        <v>20</v>
      </c>
      <c r="C12">
        <v>20</v>
      </c>
    </row>
    <row r="13" spans="1:5" ht="15.75" customHeight="1">
      <c r="A13" s="23">
        <v>12</v>
      </c>
      <c r="B13" s="16">
        <f t="shared" si="0"/>
        <v>9</v>
      </c>
      <c r="C13">
        <v>9</v>
      </c>
    </row>
    <row r="14" spans="1:5" ht="15.75" customHeight="1">
      <c r="A14" s="23">
        <v>13</v>
      </c>
      <c r="B14" s="16">
        <f t="shared" si="0"/>
        <v>0</v>
      </c>
    </row>
    <row r="15" spans="1:5" ht="15.75" customHeight="1">
      <c r="A15" s="23">
        <v>14</v>
      </c>
      <c r="B15" s="16">
        <f t="shared" si="0"/>
        <v>0</v>
      </c>
    </row>
    <row r="16" spans="1:5" ht="15.75" customHeight="1">
      <c r="A16" s="23">
        <v>15</v>
      </c>
      <c r="B16" s="16">
        <f t="shared" si="0"/>
        <v>0</v>
      </c>
    </row>
    <row r="17" spans="1:2" ht="15.75" customHeight="1">
      <c r="A17" s="23">
        <v>16</v>
      </c>
      <c r="B17" s="16">
        <f t="shared" si="0"/>
        <v>0</v>
      </c>
    </row>
    <row r="18" spans="1:2" ht="15.75" customHeight="1">
      <c r="A18" s="23">
        <v>17</v>
      </c>
      <c r="B18" s="16">
        <f t="shared" si="0"/>
        <v>0</v>
      </c>
    </row>
    <row r="19" spans="1:2" ht="15.75" customHeight="1">
      <c r="A19" s="23">
        <v>18</v>
      </c>
      <c r="B19" s="16">
        <f t="shared" si="0"/>
        <v>0</v>
      </c>
    </row>
    <row r="20" spans="1:2" ht="15.75" customHeight="1">
      <c r="A20" s="23">
        <v>19</v>
      </c>
      <c r="B20" s="16">
        <f t="shared" si="0"/>
        <v>0</v>
      </c>
    </row>
    <row r="21" spans="1:2" ht="15.75" customHeight="1">
      <c r="A21" s="23">
        <v>20</v>
      </c>
      <c r="B21" s="16">
        <f t="shared" si="0"/>
        <v>0</v>
      </c>
    </row>
    <row r="22" spans="1:2" ht="15.75" customHeight="1">
      <c r="A22" s="23">
        <v>21</v>
      </c>
      <c r="B22" s="16">
        <f t="shared" si="0"/>
        <v>0</v>
      </c>
    </row>
    <row r="23" spans="1:2" ht="15.75" customHeight="1">
      <c r="A23" s="23">
        <v>22</v>
      </c>
      <c r="B23" s="16">
        <f t="shared" si="0"/>
        <v>0</v>
      </c>
    </row>
    <row r="24" spans="1:2" ht="15.75" customHeight="1">
      <c r="A24" s="23">
        <v>23</v>
      </c>
      <c r="B24" s="16">
        <f t="shared" si="0"/>
        <v>0</v>
      </c>
    </row>
    <row r="25" spans="1:2" ht="15.75" customHeight="1">
      <c r="A25" s="23">
        <v>24</v>
      </c>
      <c r="B25" s="16">
        <f t="shared" si="0"/>
        <v>0</v>
      </c>
    </row>
    <row r="26" spans="1:2" ht="15.75" customHeight="1">
      <c r="A26" s="23">
        <v>25</v>
      </c>
      <c r="B26" s="1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Ericka</cp:lastModifiedBy>
  <dcterms:modified xsi:type="dcterms:W3CDTF">2026-06-05T15:11:55Z</dcterms:modified>
</cp:coreProperties>
</file>