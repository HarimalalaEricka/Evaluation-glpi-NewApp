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D:\S6\Modele To DO\"/>
    </mc:Choice>
  </mc:AlternateContent>
  <xr:revisionPtr revIDLastSave="0" documentId="13_ncr:1_{54828E04-CEAF-42A4-922D-53BC2D354A54}" xr6:coauthVersionLast="47" xr6:coauthVersionMax="47" xr10:uidLastSave="{00000000-0000-0000-0000-000000000000}"/>
  <bookViews>
    <workbookView xWindow="-120" yWindow="-120" windowWidth="15600" windowHeight="11040" firstSheet="1" activeTab="1" xr2:uid="{00000000-000D-0000-FFFF-FFFF00000000}"/>
  </bookViews>
  <sheets>
    <sheet name="groupe" sheetId="1" r:id="rId1"/>
    <sheet name="liste des taches" sheetId="2" r:id="rId2"/>
    <sheet name="Recap" sheetId="3" r:id="rId3"/>
    <sheet name="avancement" sheetId="4" r:id="rId4"/>
    <sheet name="detail_avancement" sheetId="5" r:id="rId5"/>
  </sheets>
  <calcPr calcId="191029"/>
  <pivotCaches>
    <pivotCache cacheId="21" r:id="rId6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12" i="3" l="1"/>
  <c r="B10" i="5"/>
  <c r="B9" i="5"/>
  <c r="B8" i="5"/>
  <c r="B7" i="5"/>
  <c r="B6" i="5"/>
  <c r="B5" i="5"/>
  <c r="B4" i="5"/>
  <c r="B3" i="5"/>
  <c r="B2" i="5"/>
  <c r="B2" i="4"/>
  <c r="A2" i="4"/>
  <c r="I10" i="2"/>
  <c r="I9" i="2"/>
  <c r="K9" i="2" s="1"/>
  <c r="I8" i="2"/>
  <c r="K8" i="2" s="1"/>
  <c r="I7" i="2"/>
  <c r="I6" i="2"/>
  <c r="J6" i="2" s="1"/>
  <c r="K6" i="2" s="1"/>
  <c r="J5" i="2"/>
  <c r="K5" i="2" s="1"/>
  <c r="I5" i="2"/>
  <c r="I4" i="2"/>
  <c r="I3" i="2"/>
  <c r="I2" i="2"/>
  <c r="J2" i="2" s="1"/>
  <c r="K3" i="2" l="1"/>
  <c r="K10" i="2"/>
  <c r="K2" i="2"/>
  <c r="J4" i="2"/>
  <c r="K4" i="2" s="1"/>
  <c r="J10" i="2"/>
  <c r="J3" i="2"/>
  <c r="J7" i="2"/>
  <c r="K7" i="2" s="1"/>
  <c r="C2" i="4" l="1"/>
  <c r="C3" i="4" l="1"/>
  <c r="E2" i="4"/>
  <c r="D2" i="4"/>
</calcChain>
</file>

<file path=xl/sharedStrings.xml><?xml version="1.0" encoding="utf-8"?>
<sst xmlns="http://schemas.openxmlformats.org/spreadsheetml/2006/main" count="83" uniqueCount="44">
  <si>
    <t>Ligne</t>
  </si>
  <si>
    <t>Catégorie</t>
  </si>
  <si>
    <t>Module</t>
  </si>
  <si>
    <t>Page</t>
  </si>
  <si>
    <t>Description tâche</t>
  </si>
  <si>
    <t>Type</t>
  </si>
  <si>
    <t>Qui</t>
  </si>
  <si>
    <t>Estimation</t>
  </si>
  <si>
    <t>Temps passé</t>
  </si>
  <si>
    <t>Reste à faire</t>
  </si>
  <si>
    <t>Avancement</t>
  </si>
  <si>
    <t>Backoffice</t>
  </si>
  <si>
    <t>Gestion Login</t>
  </si>
  <si>
    <t>Index</t>
  </si>
  <si>
    <t>Création html</t>
  </si>
  <si>
    <t>Affichage</t>
  </si>
  <si>
    <t>Design css</t>
  </si>
  <si>
    <t>Metier</t>
  </si>
  <si>
    <t>checkLogin</t>
  </si>
  <si>
    <t>Integration</t>
  </si>
  <si>
    <t>Gestion Categorie</t>
  </si>
  <si>
    <t>Categorie</t>
  </si>
  <si>
    <t>table login</t>
  </si>
  <si>
    <t>données test</t>
  </si>
  <si>
    <t>Liste</t>
  </si>
  <si>
    <t>Categorie-add</t>
  </si>
  <si>
    <t>Ajout</t>
  </si>
  <si>
    <t>Base</t>
  </si>
  <si>
    <t>Total général</t>
  </si>
  <si>
    <t>estimation total</t>
  </si>
  <si>
    <t>temps passé total</t>
  </si>
  <si>
    <t>reste à faire total</t>
  </si>
  <si>
    <t>avancement</t>
  </si>
  <si>
    <t>dépassement</t>
  </si>
  <si>
    <t>heure</t>
  </si>
  <si>
    <t>Total</t>
  </si>
  <si>
    <t/>
  </si>
  <si>
    <t>SUM of Estimation</t>
  </si>
  <si>
    <t>SUM of Temps passé</t>
  </si>
  <si>
    <t>SUM of Reste à faire</t>
  </si>
  <si>
    <t>(vide)</t>
  </si>
  <si>
    <t>ETU003350</t>
  </si>
  <si>
    <t>RANDRIANOMENA Harimalala Ericka</t>
  </si>
  <si>
    <t>Gestion Reset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</si>
</sst>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"/>
  </numFmts>
  <fonts count="14">
    <font>
      <sz val="10"/>
      <color rgb="FF000000"/>
      <name val="Arial"/>
      <scheme val="minor"/>
    </font>
    <font>
      <sz val="10"/>
      <color theme="1"/>
      <name val="Arial"/>
    </font>
    <font>
      <b/>
      <sz val="11"/>
      <color rgb="FF000000"/>
      <name val="Arial"/>
    </font>
    <font>
      <b/>
      <sz val="11"/>
      <color rgb="FF000000"/>
      <name val="Liberation Serif"/>
    </font>
    <font>
      <sz val="10"/>
      <color theme="1"/>
      <name val="Arial"/>
      <scheme val="minor"/>
    </font>
    <font>
      <sz val="10"/>
      <color theme="1"/>
      <name val="Arial"/>
    </font>
    <font>
      <sz val="10"/>
      <color theme="1"/>
      <name val="Liberation Serif"/>
    </font>
    <font>
      <sz val="10"/>
      <color theme="1"/>
      <name val="Arial"/>
      <scheme val="minor"/>
    </font>
    <font>
      <b/>
      <sz val="10"/>
      <color theme="1"/>
      <name val="Arial"/>
      <scheme val="minor"/>
    </font>
    <font>
      <b/>
      <sz val="12"/>
      <color theme="1"/>
      <name val="Aptos Narrow"/>
    </font>
    <font>
      <sz val="12"/>
      <color theme="1"/>
      <name val="Aptos Narrow"/>
    </font>
    <font>
      <b/>
      <sz val="12"/>
      <color theme="1"/>
      <name val="Arial"/>
    </font>
    <font>
      <sz val="12"/>
      <color theme="1"/>
      <name val="Arial"/>
    </font>
    <font>
      <sz val="8"/>
      <name val="Arial"/>
      <scheme val="minor"/>
    </font>
  </fonts>
  <fills count="5">
    <fill>
      <patternFill patternType="none"/>
    </fill>
    <fill>
      <patternFill patternType="gray125"/>
    </fill>
    <fill>
      <patternFill patternType="solid">
        <fgColor rgb="FFC9DAF8"/>
        <bgColor rgb="FFC9DAF8"/>
      </patternFill>
    </fill>
    <fill>
      <patternFill patternType="solid">
        <fgColor rgb="FFFFE599"/>
        <bgColor rgb="FFFFE599"/>
      </patternFill>
    </fill>
    <fill>
      <patternFill patternType="solid">
        <fgColor rgb="FF95DCF7"/>
        <bgColor rgb="FF95DCF7"/>
      </patternFill>
    </fill>
  </fills>
  <borders count="1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/>
      <top/>
      <bottom/>
      <diagonal/>
    </border>
    <border>
      <left/>
      <right style="thin">
        <color rgb="FF999999"/>
      </right>
      <top/>
      <bottom/>
      <diagonal/>
    </border>
    <border>
      <left style="thin">
        <color rgb="FF999999"/>
      </left>
      <right/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 style="thin">
        <color rgb="FF999999"/>
      </bottom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44">
    <xf numFmtId="0" fontId="0" fillId="0" borderId="0" xfId="0" applyFont="1" applyAlignment="1"/>
    <xf numFmtId="0" fontId="1" fillId="0" borderId="0" xfId="0" applyFont="1" applyAlignment="1"/>
    <xf numFmtId="0" fontId="2" fillId="2" borderId="0" xfId="0" applyFont="1" applyFill="1" applyAlignment="1"/>
    <xf numFmtId="0" fontId="2" fillId="2" borderId="1" xfId="0" applyFont="1" applyFill="1" applyBorder="1" applyAlignment="1"/>
    <xf numFmtId="0" fontId="3" fillId="2" borderId="1" xfId="0" applyFont="1" applyFill="1" applyBorder="1" applyAlignment="1"/>
    <xf numFmtId="0" fontId="4" fillId="0" borderId="1" xfId="0" applyFont="1" applyBorder="1" applyAlignment="1"/>
    <xf numFmtId="0" fontId="5" fillId="0" borderId="1" xfId="0" applyFont="1" applyBorder="1" applyAlignment="1"/>
    <xf numFmtId="0" fontId="6" fillId="0" borderId="1" xfId="0" applyFont="1" applyBorder="1" applyAlignment="1"/>
    <xf numFmtId="0" fontId="6" fillId="0" borderId="1" xfId="0" applyFont="1" applyBorder="1" applyAlignment="1"/>
    <xf numFmtId="0" fontId="5" fillId="0" borderId="1" xfId="0" applyFont="1" applyBorder="1" applyAlignment="1">
      <alignment horizontal="right"/>
    </xf>
    <xf numFmtId="10" fontId="5" fillId="0" borderId="1" xfId="0" applyNumberFormat="1" applyFont="1" applyBorder="1" applyAlignment="1">
      <alignment horizontal="right"/>
    </xf>
    <xf numFmtId="0" fontId="5" fillId="0" borderId="1" xfId="0" applyFont="1" applyBorder="1" applyAlignment="1">
      <alignment horizontal="right"/>
    </xf>
    <xf numFmtId="0" fontId="4" fillId="0" borderId="0" xfId="0" applyFont="1"/>
    <xf numFmtId="0" fontId="8" fillId="3" borderId="0" xfId="0" applyFont="1" applyFill="1" applyAlignment="1"/>
    <xf numFmtId="10" fontId="8" fillId="3" borderId="0" xfId="0" applyNumberFormat="1" applyFont="1" applyFill="1"/>
    <xf numFmtId="0" fontId="9" fillId="4" borderId="2" xfId="0" applyFont="1" applyFill="1" applyBorder="1" applyAlignment="1"/>
    <xf numFmtId="0" fontId="10" fillId="0" borderId="0" xfId="0" applyFont="1" applyAlignment="1">
      <alignment horizontal="right"/>
    </xf>
    <xf numFmtId="10" fontId="10" fillId="0" borderId="0" xfId="0" applyNumberFormat="1" applyFont="1" applyAlignment="1">
      <alignment horizontal="right"/>
    </xf>
    <xf numFmtId="9" fontId="10" fillId="0" borderId="0" xfId="0" applyNumberFormat="1" applyFont="1" applyAlignment="1">
      <alignment horizontal="right"/>
    </xf>
    <xf numFmtId="0" fontId="10" fillId="0" borderId="0" xfId="0" applyFont="1" applyAlignment="1"/>
    <xf numFmtId="0" fontId="11" fillId="4" borderId="0" xfId="0" applyFont="1" applyFill="1" applyAlignment="1"/>
    <xf numFmtId="0" fontId="11" fillId="0" borderId="0" xfId="0" applyFont="1" applyAlignment="1"/>
    <xf numFmtId="164" fontId="11" fillId="0" borderId="0" xfId="0" applyNumberFormat="1" applyFont="1" applyAlignment="1">
      <alignment horizontal="right"/>
    </xf>
    <xf numFmtId="0" fontId="12" fillId="0" borderId="0" xfId="0" applyFont="1" applyAlignment="1">
      <alignment horizontal="right"/>
    </xf>
    <xf numFmtId="0" fontId="12" fillId="0" borderId="0" xfId="0" applyFont="1" applyAlignment="1"/>
    <xf numFmtId="0" fontId="7" fillId="0" borderId="0" xfId="0" applyFont="1" applyAlignment="1"/>
    <xf numFmtId="0" fontId="0" fillId="0" borderId="3" xfId="0" applyFont="1" applyBorder="1" applyAlignment="1"/>
    <xf numFmtId="0" fontId="0" fillId="0" borderId="3" xfId="0" pivotButton="1" applyFont="1" applyBorder="1" applyAlignment="1"/>
    <xf numFmtId="0" fontId="0" fillId="0" borderId="4" xfId="0" applyFont="1" applyBorder="1" applyAlignment="1"/>
    <xf numFmtId="0" fontId="0" fillId="0" borderId="5" xfId="0" applyFont="1" applyBorder="1" applyAlignment="1"/>
    <xf numFmtId="0" fontId="0" fillId="0" borderId="6" xfId="0" applyFont="1" applyBorder="1" applyAlignment="1"/>
    <xf numFmtId="0" fontId="0" fillId="0" borderId="7" xfId="0" applyFont="1" applyBorder="1" applyAlignment="1"/>
    <xf numFmtId="0" fontId="0" fillId="0" borderId="3" xfId="0" applyNumberFormat="1" applyFont="1" applyBorder="1" applyAlignment="1"/>
    <xf numFmtId="0" fontId="0" fillId="0" borderId="6" xfId="0" applyNumberFormat="1" applyFont="1" applyBorder="1" applyAlignment="1"/>
    <xf numFmtId="0" fontId="0" fillId="0" borderId="7" xfId="0" applyNumberFormat="1" applyFont="1" applyBorder="1" applyAlignment="1"/>
    <xf numFmtId="0" fontId="0" fillId="0" borderId="8" xfId="0" applyFont="1" applyBorder="1" applyAlignment="1"/>
    <xf numFmtId="0" fontId="0" fillId="0" borderId="8" xfId="0" applyNumberFormat="1" applyFont="1" applyBorder="1" applyAlignment="1"/>
    <xf numFmtId="0" fontId="0" fillId="0" borderId="2" xfId="0" applyNumberFormat="1" applyFont="1" applyBorder="1" applyAlignment="1"/>
    <xf numFmtId="0" fontId="0" fillId="0" borderId="9" xfId="0" applyNumberFormat="1" applyFont="1" applyBorder="1" applyAlignment="1"/>
    <xf numFmtId="0" fontId="0" fillId="0" borderId="10" xfId="0" applyFont="1" applyBorder="1" applyAlignment="1"/>
    <xf numFmtId="0" fontId="0" fillId="0" borderId="10" xfId="0" applyNumberFormat="1" applyFont="1" applyBorder="1" applyAlignment="1"/>
    <xf numFmtId="0" fontId="0" fillId="0" borderId="11" xfId="0" applyNumberFormat="1" applyFont="1" applyBorder="1" applyAlignment="1"/>
    <xf numFmtId="0" fontId="0" fillId="0" borderId="12" xfId="0" applyNumberFormat="1" applyFont="1" applyBorder="1" applyAlignment="1"/>
    <xf numFmtId="0" fontId="1" fillId="0" borderId="1" xfId="0" applyFont="1" applyBorder="1" applyAlignme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ersons/person.xml><?xml version="1.0" encoding="utf-8"?>
<x18tc:personList xmlns:x18tc="http://schemas.microsoft.com/office/spreadsheetml/2018/threadedcomments"/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Ericka Harimalala" refreshedDate="46178.531826273145" refreshedVersion="7" recordCount="32" xr:uid="{00000000-000A-0000-FFFF-FFFF00000000}">
  <cacheSource type="worksheet">
    <worksheetSource ref="B1:K993" sheet="liste des taches"/>
  </cacheSource>
  <cacheFields count="10">
    <cacheField name="Catégorie" numFmtId="0">
      <sharedItems containsBlank="1"/>
    </cacheField>
    <cacheField name="Module" numFmtId="0">
      <sharedItems containsBlank="1"/>
    </cacheField>
    <cacheField name="Page" numFmtId="0">
      <sharedItems containsBlank="1"/>
    </cacheField>
    <cacheField name="Description tâche" numFmtId="0">
      <sharedItems containsBlank="1"/>
    </cacheField>
    <cacheField name="Type" numFmtId="0">
      <sharedItems containsBlank="1"/>
    </cacheField>
    <cacheField name="Qui" numFmtId="0">
      <sharedItems containsBlank="1" count="6">
        <s v="ETU003350"/>
        <m/>
        <s v="ETU00XXXX" u="1"/>
        <s v="ETU00ZZZZ" u="1"/>
        <s v="ETU00WWWW" u="1"/>
        <s v="ETU00YYYY" u="1"/>
      </sharedItems>
    </cacheField>
    <cacheField name="Estimation" numFmtId="0">
      <sharedItems containsString="0" containsBlank="1" containsNumber="1" containsInteger="1" minValue="5" maxValue="50"/>
    </cacheField>
    <cacheField name="Temps passé" numFmtId="0">
      <sharedItems containsString="0" containsBlank="1" containsNumber="1" containsInteger="1" minValue="0" maxValue="90"/>
    </cacheField>
    <cacheField name="Reste à faire" numFmtId="0">
      <sharedItems containsString="0" containsBlank="1" containsNumber="1" containsInteger="1" minValue="0" maxValue="40"/>
    </cacheField>
    <cacheField name="Avancement" numFmtId="0">
      <sharedItems containsString="0" containsBlank="1" containsNumber="1" minValue="0" maxValue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">
  <r>
    <s v="Backoffice"/>
    <s v="Gestion Reset"/>
    <m/>
    <s v="Création html"/>
    <s v="Affichage"/>
    <x v="0"/>
    <n v="30"/>
    <n v="20"/>
    <n v="10"/>
    <n v="0.66666666666666663"/>
  </r>
  <r>
    <s v="Backoffice"/>
    <s v="Gestion Login"/>
    <s v="Index"/>
    <s v="Design css"/>
    <s v="Metier"/>
    <x v="0"/>
    <n v="20"/>
    <n v="0"/>
    <n v="20"/>
    <n v="0"/>
  </r>
  <r>
    <s v="Backoffice"/>
    <s v="Gestion Login"/>
    <s v="Index"/>
    <s v="checkLogin"/>
    <s v="Integration"/>
    <x v="0"/>
    <n v="30"/>
    <n v="10"/>
    <n v="20"/>
    <n v="0.33333333333333331"/>
  </r>
  <r>
    <s v="Backoffice"/>
    <s v="Gestion Categorie"/>
    <s v="Categorie"/>
    <s v="table login"/>
    <s v="Affichage"/>
    <x v="0"/>
    <n v="10"/>
    <n v="0"/>
    <n v="10"/>
    <n v="0"/>
  </r>
  <r>
    <s v="Backoffice"/>
    <s v="Gestion Categorie"/>
    <s v="Categorie"/>
    <s v="données test"/>
    <s v="Metier"/>
    <x v="0"/>
    <n v="50"/>
    <n v="10"/>
    <n v="40"/>
    <n v="0.2"/>
  </r>
  <r>
    <s v="Backoffice"/>
    <s v="Gestion Categorie"/>
    <s v="Categorie"/>
    <s v="Liste"/>
    <s v="Integration"/>
    <x v="0"/>
    <n v="25"/>
    <n v="0"/>
    <n v="25"/>
    <n v="0"/>
  </r>
  <r>
    <s v="Backoffice"/>
    <s v="Gestion Categorie"/>
    <s v="Categorie-add"/>
    <s v="Ajout"/>
    <s v="Affichage"/>
    <x v="0"/>
    <n v="10"/>
    <n v="90"/>
    <n v="0"/>
    <n v="1"/>
  </r>
  <r>
    <s v="Backoffice"/>
    <s v="Gestion Categorie"/>
    <s v="Categorie-add"/>
    <s v="Ajout"/>
    <s v="Metier"/>
    <x v="0"/>
    <n v="5"/>
    <n v="30"/>
    <n v="0"/>
    <n v="1"/>
  </r>
  <r>
    <s v="Backoffice"/>
    <s v="Gestion Categorie"/>
    <s v="Categorie-add"/>
    <s v="Ajout"/>
    <s v="Base"/>
    <x v="0"/>
    <n v="5"/>
    <n v="0"/>
    <n v="5"/>
    <n v="0"/>
  </r>
  <r>
    <m/>
    <m/>
    <m/>
    <m/>
    <m/>
    <x v="1"/>
    <m/>
    <m/>
    <m/>
    <m/>
  </r>
  <r>
    <m/>
    <m/>
    <m/>
    <m/>
    <m/>
    <x v="1"/>
    <m/>
    <m/>
    <m/>
    <m/>
  </r>
  <r>
    <m/>
    <m/>
    <m/>
    <m/>
    <m/>
    <x v="1"/>
    <m/>
    <m/>
    <m/>
    <m/>
  </r>
  <r>
    <m/>
    <m/>
    <m/>
    <m/>
    <m/>
    <x v="1"/>
    <m/>
    <m/>
    <m/>
    <m/>
  </r>
  <r>
    <m/>
    <m/>
    <m/>
    <m/>
    <m/>
    <x v="1"/>
    <m/>
    <m/>
    <m/>
    <m/>
  </r>
  <r>
    <m/>
    <m/>
    <m/>
    <m/>
    <m/>
    <x v="1"/>
    <m/>
    <m/>
    <m/>
    <m/>
  </r>
  <r>
    <m/>
    <m/>
    <m/>
    <m/>
    <m/>
    <x v="1"/>
    <m/>
    <m/>
    <m/>
    <m/>
  </r>
  <r>
    <m/>
    <m/>
    <m/>
    <m/>
    <m/>
    <x v="1"/>
    <m/>
    <m/>
    <m/>
    <m/>
  </r>
  <r>
    <m/>
    <m/>
    <m/>
    <m/>
    <m/>
    <x v="1"/>
    <m/>
    <m/>
    <m/>
    <m/>
  </r>
  <r>
    <m/>
    <m/>
    <m/>
    <m/>
    <m/>
    <x v="1"/>
    <m/>
    <m/>
    <m/>
    <m/>
  </r>
  <r>
    <m/>
    <m/>
    <m/>
    <m/>
    <m/>
    <x v="1"/>
    <m/>
    <m/>
    <m/>
    <m/>
  </r>
  <r>
    <m/>
    <m/>
    <m/>
    <m/>
    <m/>
    <x v="1"/>
    <m/>
    <m/>
    <m/>
    <m/>
  </r>
  <r>
    <m/>
    <m/>
    <m/>
    <m/>
    <m/>
    <x v="1"/>
    <m/>
    <m/>
    <m/>
    <m/>
  </r>
  <r>
    <m/>
    <m/>
    <m/>
    <m/>
    <m/>
    <x v="1"/>
    <m/>
    <m/>
    <m/>
    <m/>
  </r>
  <r>
    <m/>
    <m/>
    <m/>
    <m/>
    <m/>
    <x v="1"/>
    <m/>
    <m/>
    <m/>
    <m/>
  </r>
  <r>
    <m/>
    <m/>
    <m/>
    <m/>
    <m/>
    <x v="1"/>
    <m/>
    <m/>
    <m/>
    <m/>
  </r>
  <r>
    <m/>
    <m/>
    <m/>
    <m/>
    <m/>
    <x v="1"/>
    <m/>
    <m/>
    <m/>
    <m/>
  </r>
  <r>
    <m/>
    <m/>
    <m/>
    <m/>
    <m/>
    <x v="1"/>
    <m/>
    <m/>
    <m/>
    <m/>
  </r>
  <r>
    <m/>
    <m/>
    <m/>
    <m/>
    <m/>
    <x v="1"/>
    <m/>
    <m/>
    <m/>
    <m/>
  </r>
  <r>
    <m/>
    <m/>
    <m/>
    <m/>
    <m/>
    <x v="1"/>
    <m/>
    <m/>
    <m/>
    <m/>
  </r>
  <r>
    <m/>
    <m/>
    <m/>
    <m/>
    <m/>
    <x v="1"/>
    <m/>
    <m/>
    <m/>
    <m/>
  </r>
  <r>
    <m/>
    <m/>
    <m/>
    <m/>
    <m/>
    <x v="1"/>
    <m/>
    <m/>
    <m/>
    <m/>
  </r>
  <r>
    <m/>
    <m/>
    <m/>
    <m/>
    <m/>
    <x v="1"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0000000}" name="Recap" cacheId="21" applyNumberFormats="0" applyBorderFormats="0" applyFontFormats="0" applyPatternFormats="0" applyAlignmentFormats="0" applyWidthHeightFormats="0" dataCaption="" updatedVersion="7" compact="0" compactData="0">
  <location ref="A1:D5" firstHeaderRow="1" firstDataRow="2" firstDataCol="1"/>
  <pivotFields count="10">
    <pivotField name="Catégorie" compact="0" outline="0" multipleItemSelectionAllowed="1" showAll="0"/>
    <pivotField name="Module" compact="0" outline="0" multipleItemSelectionAllowed="1" showAll="0"/>
    <pivotField name="Page" compact="0" outline="0" multipleItemSelectionAllowed="1" showAll="0"/>
    <pivotField name="Description tâche" compact="0" outline="0" multipleItemSelectionAllowed="1" showAll="0"/>
    <pivotField name="Type" compact="0" outline="0" multipleItemSelectionAllowed="1" showAll="0"/>
    <pivotField name="Qui" axis="axisRow" compact="0" outline="0" multipleItemSelectionAllowed="1" showAll="0" sortType="ascending">
      <items count="7">
        <item x="0"/>
        <item m="1" x="4"/>
        <item m="1" x="2"/>
        <item m="1" x="5"/>
        <item m="1" x="3"/>
        <item x="1"/>
        <item t="default"/>
      </items>
    </pivotField>
    <pivotField name="Estimation" dataField="1" compact="0" outline="0" multipleItemSelectionAllowed="1" showAll="0"/>
    <pivotField name="Temps passé" dataField="1" compact="0" outline="0" multipleItemSelectionAllowed="1" showAll="0"/>
    <pivotField name="Reste à faire" dataField="1" compact="0" outline="0" multipleItemSelectionAllowed="1" showAll="0"/>
    <pivotField name="Avancement" compact="0" numFmtId="10" outline="0" multipleItemSelectionAllowed="1" showAll="0"/>
  </pivotFields>
  <rowFields count="1">
    <field x="5"/>
  </rowFields>
  <rowItems count="3">
    <i>
      <x/>
    </i>
    <i>
      <x v="5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UM of Estimation" fld="6" baseField="0"/>
    <dataField name="SUM of Temps passé" fld="7" baseField="0"/>
    <dataField name="SUM of Reste à faire" fld="8" baseField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B4"/>
  <sheetViews>
    <sheetView workbookViewId="0">
      <selection activeCell="B10" sqref="B10"/>
    </sheetView>
  </sheetViews>
  <sheetFormatPr baseColWidth="10" defaultColWidth="12.5703125" defaultRowHeight="15.75" customHeight="1"/>
  <sheetData>
    <row r="1" spans="1:2">
      <c r="A1" s="1" t="s">
        <v>41</v>
      </c>
      <c r="B1" s="1" t="s">
        <v>42</v>
      </c>
    </row>
    <row r="2" spans="1:2">
      <c r="A2" s="1"/>
      <c r="B2" s="1"/>
    </row>
    <row r="3" spans="1:2">
      <c r="A3" s="1"/>
      <c r="B3" s="1"/>
    </row>
    <row r="4" spans="1:2">
      <c r="A4" s="1"/>
      <c r="B4" s="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K78"/>
  <sheetViews>
    <sheetView tabSelected="1" workbookViewId="0">
      <selection activeCell="C3" sqref="C3"/>
    </sheetView>
  </sheetViews>
  <sheetFormatPr baseColWidth="10" defaultColWidth="12.5703125" defaultRowHeight="15.75" customHeight="1"/>
  <cols>
    <col min="1" max="1" width="5.85546875" customWidth="1"/>
    <col min="2" max="2" width="19" customWidth="1"/>
    <col min="3" max="3" width="18" customWidth="1"/>
    <col min="5" max="5" width="16.42578125" customWidth="1"/>
  </cols>
  <sheetData>
    <row r="1" spans="1:11" ht="15.75" customHeight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</row>
    <row r="2" spans="1:11" ht="12.75">
      <c r="A2" s="5">
        <v>1</v>
      </c>
      <c r="B2" s="5" t="s">
        <v>11</v>
      </c>
      <c r="C2" s="43" t="s">
        <v>43</v>
      </c>
      <c r="D2" s="6"/>
      <c r="E2" s="7" t="s">
        <v>14</v>
      </c>
      <c r="F2" s="8" t="s">
        <v>15</v>
      </c>
      <c r="G2" s="43" t="s">
        <v>41</v>
      </c>
      <c r="H2" s="6">
        <v>30</v>
      </c>
      <c r="I2" s="9">
        <f>detail_avancement!B2</f>
        <v>20</v>
      </c>
      <c r="J2" s="9">
        <f t="shared" ref="J2:J7" si="0">H2-I2</f>
        <v>10</v>
      </c>
      <c r="K2" s="10">
        <f t="shared" ref="K2:K10" si="1">(I2/(I2+J2))</f>
        <v>0.66666666666666663</v>
      </c>
    </row>
    <row r="3" spans="1:11" ht="12.75">
      <c r="A3" s="5">
        <v>2</v>
      </c>
      <c r="B3" s="5" t="s">
        <v>11</v>
      </c>
      <c r="C3" s="8" t="s">
        <v>12</v>
      </c>
      <c r="D3" s="6" t="s">
        <v>13</v>
      </c>
      <c r="E3" s="7" t="s">
        <v>16</v>
      </c>
      <c r="F3" s="8" t="s">
        <v>17</v>
      </c>
      <c r="G3" s="43" t="s">
        <v>41</v>
      </c>
      <c r="H3" s="6">
        <v>20</v>
      </c>
      <c r="I3" s="9">
        <f>detail_avancement!B3</f>
        <v>0</v>
      </c>
      <c r="J3" s="9">
        <f t="shared" si="0"/>
        <v>20</v>
      </c>
      <c r="K3" s="10">
        <f t="shared" si="1"/>
        <v>0</v>
      </c>
    </row>
    <row r="4" spans="1:11" ht="12.75">
      <c r="A4" s="5">
        <v>3</v>
      </c>
      <c r="B4" s="5" t="s">
        <v>11</v>
      </c>
      <c r="C4" s="8" t="s">
        <v>12</v>
      </c>
      <c r="D4" s="6" t="s">
        <v>13</v>
      </c>
      <c r="E4" s="7" t="s">
        <v>18</v>
      </c>
      <c r="F4" s="8" t="s">
        <v>19</v>
      </c>
      <c r="G4" s="43" t="s">
        <v>41</v>
      </c>
      <c r="H4" s="6">
        <v>30</v>
      </c>
      <c r="I4" s="9">
        <f>detail_avancement!B4</f>
        <v>10</v>
      </c>
      <c r="J4" s="9">
        <f t="shared" si="0"/>
        <v>20</v>
      </c>
      <c r="K4" s="10">
        <f t="shared" si="1"/>
        <v>0.33333333333333331</v>
      </c>
    </row>
    <row r="5" spans="1:11" ht="12.75">
      <c r="A5" s="5">
        <v>4</v>
      </c>
      <c r="B5" s="5" t="s">
        <v>11</v>
      </c>
      <c r="C5" s="8" t="s">
        <v>20</v>
      </c>
      <c r="D5" s="6" t="s">
        <v>21</v>
      </c>
      <c r="E5" s="7" t="s">
        <v>22</v>
      </c>
      <c r="F5" s="8" t="s">
        <v>15</v>
      </c>
      <c r="G5" s="43" t="s">
        <v>41</v>
      </c>
      <c r="H5" s="6">
        <v>10</v>
      </c>
      <c r="I5" s="9">
        <f>detail_avancement!B5</f>
        <v>0</v>
      </c>
      <c r="J5" s="9">
        <f t="shared" si="0"/>
        <v>10</v>
      </c>
      <c r="K5" s="10">
        <f t="shared" si="1"/>
        <v>0</v>
      </c>
    </row>
    <row r="6" spans="1:11" ht="12.75">
      <c r="A6" s="5">
        <v>5</v>
      </c>
      <c r="B6" s="5" t="s">
        <v>11</v>
      </c>
      <c r="C6" s="8" t="s">
        <v>20</v>
      </c>
      <c r="D6" s="6" t="s">
        <v>21</v>
      </c>
      <c r="E6" s="7" t="s">
        <v>23</v>
      </c>
      <c r="F6" s="8" t="s">
        <v>17</v>
      </c>
      <c r="G6" s="43" t="s">
        <v>41</v>
      </c>
      <c r="H6" s="6">
        <v>50</v>
      </c>
      <c r="I6" s="9">
        <f>detail_avancement!B6</f>
        <v>10</v>
      </c>
      <c r="J6" s="9">
        <f t="shared" si="0"/>
        <v>40</v>
      </c>
      <c r="K6" s="10">
        <f t="shared" si="1"/>
        <v>0.2</v>
      </c>
    </row>
    <row r="7" spans="1:11" ht="12.75">
      <c r="A7" s="5">
        <v>6</v>
      </c>
      <c r="B7" s="5" t="s">
        <v>11</v>
      </c>
      <c r="C7" s="8" t="s">
        <v>20</v>
      </c>
      <c r="D7" s="6" t="s">
        <v>21</v>
      </c>
      <c r="E7" s="8" t="s">
        <v>24</v>
      </c>
      <c r="F7" s="8" t="s">
        <v>19</v>
      </c>
      <c r="G7" s="43" t="s">
        <v>41</v>
      </c>
      <c r="H7" s="6">
        <v>25</v>
      </c>
      <c r="I7" s="9">
        <f>detail_avancement!B7</f>
        <v>0</v>
      </c>
      <c r="J7" s="9">
        <f t="shared" si="0"/>
        <v>25</v>
      </c>
      <c r="K7" s="10">
        <f t="shared" si="1"/>
        <v>0</v>
      </c>
    </row>
    <row r="8" spans="1:11" ht="12.75">
      <c r="A8" s="5">
        <v>7</v>
      </c>
      <c r="B8" s="5" t="s">
        <v>11</v>
      </c>
      <c r="C8" s="8" t="s">
        <v>20</v>
      </c>
      <c r="D8" s="6" t="s">
        <v>25</v>
      </c>
      <c r="E8" s="8" t="s">
        <v>26</v>
      </c>
      <c r="F8" s="8" t="s">
        <v>15</v>
      </c>
      <c r="G8" s="43" t="s">
        <v>41</v>
      </c>
      <c r="H8" s="6">
        <v>10</v>
      </c>
      <c r="I8" s="9">
        <f>detail_avancement!B8</f>
        <v>90</v>
      </c>
      <c r="J8" s="11">
        <v>0</v>
      </c>
      <c r="K8" s="10">
        <f t="shared" si="1"/>
        <v>1</v>
      </c>
    </row>
    <row r="9" spans="1:11" ht="12.75">
      <c r="A9" s="5">
        <v>8</v>
      </c>
      <c r="B9" s="5" t="s">
        <v>11</v>
      </c>
      <c r="C9" s="8" t="s">
        <v>20</v>
      </c>
      <c r="D9" s="6" t="s">
        <v>25</v>
      </c>
      <c r="E9" s="8" t="s">
        <v>26</v>
      </c>
      <c r="F9" s="8" t="s">
        <v>17</v>
      </c>
      <c r="G9" s="43" t="s">
        <v>41</v>
      </c>
      <c r="H9" s="6">
        <v>5</v>
      </c>
      <c r="I9" s="9">
        <f>detail_avancement!B9</f>
        <v>30</v>
      </c>
      <c r="J9" s="11">
        <v>0</v>
      </c>
      <c r="K9" s="10">
        <f t="shared" si="1"/>
        <v>1</v>
      </c>
    </row>
    <row r="10" spans="1:11" ht="12.75">
      <c r="A10" s="5">
        <v>9</v>
      </c>
      <c r="B10" s="5" t="s">
        <v>11</v>
      </c>
      <c r="C10" s="8" t="s">
        <v>20</v>
      </c>
      <c r="D10" s="6" t="s">
        <v>25</v>
      </c>
      <c r="E10" s="8" t="s">
        <v>26</v>
      </c>
      <c r="F10" s="6" t="s">
        <v>27</v>
      </c>
      <c r="G10" s="43" t="s">
        <v>41</v>
      </c>
      <c r="H10" s="6">
        <v>5</v>
      </c>
      <c r="I10" s="9">
        <f>detail_avancement!B10</f>
        <v>0</v>
      </c>
      <c r="J10" s="9">
        <f>H10-I10</f>
        <v>5</v>
      </c>
      <c r="K10" s="10">
        <f t="shared" si="1"/>
        <v>0</v>
      </c>
    </row>
    <row r="11" spans="1:11">
      <c r="A11" s="5">
        <v>10</v>
      </c>
      <c r="B11" s="12"/>
      <c r="C11" s="12"/>
      <c r="D11" s="12"/>
      <c r="E11" s="12"/>
      <c r="F11" s="12"/>
      <c r="G11" s="12"/>
      <c r="H11" s="12"/>
      <c r="I11" s="12"/>
      <c r="J11" s="12"/>
      <c r="K11" s="12"/>
    </row>
    <row r="12" spans="1:11">
      <c r="A12" s="5">
        <v>11</v>
      </c>
      <c r="B12" s="12"/>
      <c r="C12" s="12"/>
      <c r="D12" s="12"/>
      <c r="E12" s="12"/>
      <c r="F12" s="12"/>
      <c r="G12" s="12"/>
      <c r="H12" s="12"/>
      <c r="I12" s="12"/>
      <c r="J12" s="12"/>
      <c r="K12" s="12"/>
    </row>
    <row r="13" spans="1:11" ht="12.75">
      <c r="A13" s="5">
        <v>12</v>
      </c>
      <c r="B13" s="12"/>
      <c r="C13" s="12"/>
      <c r="D13" s="12"/>
      <c r="E13" s="12"/>
      <c r="F13" s="12"/>
      <c r="G13" s="12"/>
      <c r="H13" s="12"/>
      <c r="I13" s="12"/>
      <c r="J13" s="12"/>
      <c r="K13" s="12"/>
    </row>
    <row r="14" spans="1:11" ht="12.75">
      <c r="A14" s="5">
        <v>13</v>
      </c>
      <c r="B14" s="12"/>
      <c r="C14" s="12"/>
      <c r="D14" s="12"/>
      <c r="E14" s="12"/>
      <c r="F14" s="12"/>
      <c r="G14" s="12"/>
      <c r="H14" s="12"/>
      <c r="I14" s="12"/>
      <c r="J14" s="12"/>
      <c r="K14" s="12"/>
    </row>
    <row r="15" spans="1:11" ht="12.75">
      <c r="A15" s="5">
        <v>14</v>
      </c>
      <c r="B15" s="12"/>
      <c r="C15" s="12"/>
      <c r="D15" s="12"/>
      <c r="E15" s="12"/>
      <c r="F15" s="12"/>
      <c r="G15" s="12"/>
      <c r="H15" s="12"/>
      <c r="I15" s="12"/>
      <c r="J15" s="12"/>
      <c r="K15" s="12"/>
    </row>
    <row r="16" spans="1:11" ht="12.75">
      <c r="A16" s="5">
        <v>15</v>
      </c>
      <c r="B16" s="12"/>
      <c r="C16" s="12"/>
      <c r="D16" s="12"/>
      <c r="E16" s="12"/>
      <c r="F16" s="12"/>
      <c r="G16" s="12"/>
      <c r="H16" s="12"/>
      <c r="I16" s="12"/>
      <c r="J16" s="12"/>
      <c r="K16" s="12"/>
    </row>
    <row r="17" spans="1:11" ht="12.75">
      <c r="A17" s="5">
        <v>16</v>
      </c>
      <c r="B17" s="12"/>
      <c r="C17" s="12"/>
      <c r="D17" s="12"/>
      <c r="E17" s="12"/>
      <c r="F17" s="12"/>
      <c r="G17" s="12"/>
      <c r="H17" s="12"/>
      <c r="I17" s="12"/>
      <c r="J17" s="12"/>
      <c r="K17" s="12"/>
    </row>
    <row r="18" spans="1:11" ht="12.75">
      <c r="A18" s="5">
        <v>17</v>
      </c>
      <c r="B18" s="12"/>
      <c r="C18" s="12"/>
      <c r="D18" s="12"/>
      <c r="E18" s="12"/>
      <c r="F18" s="12"/>
      <c r="G18" s="12"/>
      <c r="H18" s="12"/>
      <c r="I18" s="12"/>
      <c r="J18" s="12"/>
      <c r="K18" s="12"/>
    </row>
    <row r="19" spans="1:11" ht="12.75">
      <c r="A19" s="5">
        <v>18</v>
      </c>
      <c r="B19" s="12"/>
      <c r="C19" s="12"/>
      <c r="D19" s="12"/>
      <c r="E19" s="12"/>
      <c r="F19" s="12"/>
      <c r="G19" s="12"/>
      <c r="H19" s="12"/>
      <c r="I19" s="12"/>
      <c r="J19" s="12"/>
      <c r="K19" s="12"/>
    </row>
    <row r="20" spans="1:11" ht="12.75">
      <c r="A20" s="5">
        <v>19</v>
      </c>
      <c r="B20" s="12"/>
      <c r="C20" s="12"/>
      <c r="D20" s="12"/>
      <c r="E20" s="12"/>
      <c r="F20" s="12"/>
      <c r="G20" s="12"/>
      <c r="H20" s="12"/>
      <c r="I20" s="12"/>
      <c r="J20" s="12"/>
      <c r="K20" s="12"/>
    </row>
    <row r="21" spans="1:11" ht="15.75" customHeight="1">
      <c r="A21" s="5">
        <v>20</v>
      </c>
    </row>
    <row r="22" spans="1:11" ht="15.75" customHeight="1">
      <c r="A22" s="5">
        <v>21</v>
      </c>
    </row>
    <row r="23" spans="1:11" ht="15.75" customHeight="1">
      <c r="A23" s="5">
        <v>22</v>
      </c>
    </row>
    <row r="24" spans="1:11" ht="15.75" customHeight="1">
      <c r="A24" s="5">
        <v>23</v>
      </c>
    </row>
    <row r="25" spans="1:11" ht="15.75" customHeight="1">
      <c r="A25" s="5">
        <v>24</v>
      </c>
    </row>
    <row r="26" spans="1:11" ht="15.75" customHeight="1">
      <c r="A26" s="5">
        <v>25</v>
      </c>
    </row>
    <row r="27" spans="1:11" ht="15.75" customHeight="1">
      <c r="A27" s="5">
        <v>26</v>
      </c>
    </row>
    <row r="28" spans="1:11" ht="15.75" customHeight="1">
      <c r="A28" s="5">
        <v>27</v>
      </c>
    </row>
    <row r="29" spans="1:11" ht="15.75" customHeight="1">
      <c r="A29" s="5">
        <v>28</v>
      </c>
    </row>
    <row r="30" spans="1:11" ht="15.75" customHeight="1">
      <c r="A30" s="5">
        <v>29</v>
      </c>
    </row>
    <row r="31" spans="1:11" ht="15.75" customHeight="1">
      <c r="A31" s="5">
        <v>30</v>
      </c>
    </row>
    <row r="32" spans="1:11" ht="15.75" customHeight="1">
      <c r="A32" s="5">
        <v>31</v>
      </c>
    </row>
    <row r="33" spans="1:1" ht="15.75" customHeight="1">
      <c r="A33" s="5">
        <v>32</v>
      </c>
    </row>
    <row r="34" spans="1:1" ht="15.75" customHeight="1">
      <c r="A34" s="5">
        <v>33</v>
      </c>
    </row>
    <row r="35" spans="1:1" ht="15.75" customHeight="1">
      <c r="A35" s="5">
        <v>34</v>
      </c>
    </row>
    <row r="36" spans="1:1" ht="15.75" customHeight="1">
      <c r="A36" s="5">
        <v>35</v>
      </c>
    </row>
    <row r="37" spans="1:1" ht="15.75" customHeight="1">
      <c r="A37" s="5">
        <v>36</v>
      </c>
    </row>
    <row r="38" spans="1:1" ht="15.75" customHeight="1">
      <c r="A38" s="5">
        <v>37</v>
      </c>
    </row>
    <row r="39" spans="1:1" ht="15.75" customHeight="1">
      <c r="A39" s="5">
        <v>38</v>
      </c>
    </row>
    <row r="40" spans="1:1" ht="15.75" customHeight="1">
      <c r="A40" s="5">
        <v>39</v>
      </c>
    </row>
    <row r="41" spans="1:1" ht="15.75" customHeight="1">
      <c r="A41" s="5">
        <v>40</v>
      </c>
    </row>
    <row r="42" spans="1:1" ht="15.75" customHeight="1">
      <c r="A42" s="5">
        <v>41</v>
      </c>
    </row>
    <row r="43" spans="1:1" ht="15.75" customHeight="1">
      <c r="A43" s="5">
        <v>42</v>
      </c>
    </row>
    <row r="44" spans="1:1" ht="15.75" customHeight="1">
      <c r="A44" s="5">
        <v>43</v>
      </c>
    </row>
    <row r="45" spans="1:1" ht="15.75" customHeight="1">
      <c r="A45" s="5">
        <v>44</v>
      </c>
    </row>
    <row r="46" spans="1:1" ht="15.75" customHeight="1">
      <c r="A46" s="5">
        <v>45</v>
      </c>
    </row>
    <row r="47" spans="1:1" ht="15.75" customHeight="1">
      <c r="A47" s="5">
        <v>46</v>
      </c>
    </row>
    <row r="48" spans="1:1" ht="15.75" customHeight="1">
      <c r="A48" s="5">
        <v>47</v>
      </c>
    </row>
    <row r="49" spans="1:1" ht="15.75" customHeight="1">
      <c r="A49" s="5">
        <v>48</v>
      </c>
    </row>
    <row r="50" spans="1:1" ht="15.75" customHeight="1">
      <c r="A50" s="5">
        <v>49</v>
      </c>
    </row>
    <row r="51" spans="1:1" ht="15.75" customHeight="1">
      <c r="A51" s="5">
        <v>50</v>
      </c>
    </row>
    <row r="52" spans="1:1" ht="15.75" customHeight="1">
      <c r="A52" s="5">
        <v>51</v>
      </c>
    </row>
    <row r="53" spans="1:1" ht="15.75" customHeight="1">
      <c r="A53" s="5">
        <v>52</v>
      </c>
    </row>
    <row r="54" spans="1:1" ht="15.75" customHeight="1">
      <c r="A54" s="5">
        <v>53</v>
      </c>
    </row>
    <row r="55" spans="1:1" ht="15.75" customHeight="1">
      <c r="A55" s="5">
        <v>54</v>
      </c>
    </row>
    <row r="56" spans="1:1" ht="15.75" customHeight="1">
      <c r="A56" s="5">
        <v>55</v>
      </c>
    </row>
    <row r="57" spans="1:1" ht="15.75" customHeight="1">
      <c r="A57" s="5">
        <v>56</v>
      </c>
    </row>
    <row r="58" spans="1:1" ht="15.75" customHeight="1">
      <c r="A58" s="5">
        <v>57</v>
      </c>
    </row>
    <row r="59" spans="1:1" ht="15.75" customHeight="1">
      <c r="A59" s="5">
        <v>58</v>
      </c>
    </row>
    <row r="60" spans="1:1" ht="15.75" customHeight="1">
      <c r="A60" s="5">
        <v>59</v>
      </c>
    </row>
    <row r="61" spans="1:1" ht="15.75" customHeight="1">
      <c r="A61" s="5">
        <v>60</v>
      </c>
    </row>
    <row r="62" spans="1:1" ht="15.75" customHeight="1">
      <c r="A62" s="5">
        <v>61</v>
      </c>
    </row>
    <row r="63" spans="1:1" ht="15.75" customHeight="1">
      <c r="A63" s="5">
        <v>62</v>
      </c>
    </row>
    <row r="64" spans="1:1" ht="15.75" customHeight="1">
      <c r="A64" s="5">
        <v>63</v>
      </c>
    </row>
    <row r="65" spans="1:1" ht="15.75" customHeight="1">
      <c r="A65" s="5">
        <v>64</v>
      </c>
    </row>
    <row r="66" spans="1:1" ht="15.75" customHeight="1">
      <c r="A66" s="5">
        <v>65</v>
      </c>
    </row>
    <row r="67" spans="1:1" ht="15.75" customHeight="1">
      <c r="A67" s="5">
        <v>66</v>
      </c>
    </row>
    <row r="68" spans="1:1" ht="15.75" customHeight="1">
      <c r="A68" s="5">
        <v>67</v>
      </c>
    </row>
    <row r="69" spans="1:1" ht="15.75" customHeight="1">
      <c r="A69" s="5">
        <v>68</v>
      </c>
    </row>
    <row r="70" spans="1:1" ht="15.75" customHeight="1">
      <c r="A70" s="5">
        <v>69</v>
      </c>
    </row>
    <row r="71" spans="1:1" ht="15.75" customHeight="1">
      <c r="A71" s="5">
        <v>70</v>
      </c>
    </row>
    <row r="72" spans="1:1" ht="15.75" customHeight="1">
      <c r="A72" s="5">
        <v>71</v>
      </c>
    </row>
    <row r="73" spans="1:1" ht="15.75" customHeight="1">
      <c r="A73" s="5">
        <v>72</v>
      </c>
    </row>
    <row r="74" spans="1:1" ht="15.75" customHeight="1">
      <c r="A74" s="5">
        <v>73</v>
      </c>
    </row>
    <row r="75" spans="1:1" ht="15.75" customHeight="1">
      <c r="A75" s="5">
        <v>74</v>
      </c>
    </row>
    <row r="76" spans="1:1" ht="15.75" customHeight="1">
      <c r="A76" s="5">
        <v>75</v>
      </c>
    </row>
    <row r="77" spans="1:1" ht="15.75" customHeight="1">
      <c r="A77" s="5">
        <v>76</v>
      </c>
    </row>
    <row r="78" spans="1:1" ht="15.75" customHeight="1">
      <c r="A78" s="5">
        <v>77</v>
      </c>
    </row>
  </sheetData>
  <phoneticPr fontId="1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D12"/>
  <sheetViews>
    <sheetView showGridLines="0" workbookViewId="0">
      <selection activeCell="D9" sqref="D9"/>
    </sheetView>
  </sheetViews>
  <sheetFormatPr baseColWidth="10" defaultColWidth="12.5703125" defaultRowHeight="15.75" customHeight="1"/>
  <sheetData>
    <row r="1" spans="1:4">
      <c r="A1" s="26"/>
      <c r="B1" s="27" t="s">
        <v>36</v>
      </c>
      <c r="C1" s="28"/>
      <c r="D1" s="29"/>
    </row>
    <row r="2" spans="1:4">
      <c r="A2" s="27" t="s">
        <v>6</v>
      </c>
      <c r="B2" s="26" t="s">
        <v>37</v>
      </c>
      <c r="C2" s="30" t="s">
        <v>38</v>
      </c>
      <c r="D2" s="31" t="s">
        <v>39</v>
      </c>
    </row>
    <row r="3" spans="1:4">
      <c r="A3" s="26" t="s">
        <v>41</v>
      </c>
      <c r="B3" s="32">
        <v>185</v>
      </c>
      <c r="C3" s="33">
        <v>160</v>
      </c>
      <c r="D3" s="34">
        <v>130</v>
      </c>
    </row>
    <row r="4" spans="1:4">
      <c r="A4" s="35" t="s">
        <v>40</v>
      </c>
      <c r="B4" s="36"/>
      <c r="C4" s="37"/>
      <c r="D4" s="38"/>
    </row>
    <row r="5" spans="1:4">
      <c r="A5" s="39" t="s">
        <v>28</v>
      </c>
      <c r="B5" s="40">
        <v>185</v>
      </c>
      <c r="C5" s="41">
        <v>160</v>
      </c>
      <c r="D5" s="42">
        <v>130</v>
      </c>
    </row>
    <row r="12" spans="1:4">
      <c r="A12" s="13" t="s">
        <v>10</v>
      </c>
      <c r="B12" s="14">
        <f>avancement!D2</f>
        <v>0.55172413793103448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E3"/>
  <sheetViews>
    <sheetView workbookViewId="0"/>
  </sheetViews>
  <sheetFormatPr baseColWidth="10" defaultColWidth="12.5703125" defaultRowHeight="15.75" customHeight="1"/>
  <cols>
    <col min="1" max="1" width="15.7109375" customWidth="1"/>
    <col min="2" max="2" width="17.85546875" customWidth="1"/>
    <col min="3" max="3" width="17" customWidth="1"/>
    <col min="4" max="4" width="18.28515625" customWidth="1"/>
    <col min="5" max="5" width="13.7109375" customWidth="1"/>
  </cols>
  <sheetData>
    <row r="1" spans="1:5" ht="15.75" customHeight="1">
      <c r="A1" s="15" t="s">
        <v>29</v>
      </c>
      <c r="B1" s="15" t="s">
        <v>30</v>
      </c>
      <c r="C1" s="15" t="s">
        <v>31</v>
      </c>
      <c r="D1" s="15" t="s">
        <v>32</v>
      </c>
      <c r="E1" s="15" t="s">
        <v>33</v>
      </c>
    </row>
    <row r="2" spans="1:5">
      <c r="A2" s="16">
        <f>SUM('liste des taches'!H:H)</f>
        <v>185</v>
      </c>
      <c r="B2" s="16">
        <f>SUM('liste des taches'!I:I)</f>
        <v>160</v>
      </c>
      <c r="C2" s="16">
        <f>SUM('liste des taches'!J:J)</f>
        <v>130</v>
      </c>
      <c r="D2" s="17">
        <f>(B2/(B2+C2))</f>
        <v>0.55172413793103448</v>
      </c>
      <c r="E2" s="18">
        <f>((B2+C2)-A2)/A2</f>
        <v>0.56756756756756754</v>
      </c>
    </row>
    <row r="3" spans="1:5">
      <c r="A3" s="19"/>
      <c r="B3" s="19"/>
      <c r="C3" s="16">
        <f>C2/60</f>
        <v>2.1666666666666665</v>
      </c>
      <c r="D3" s="19" t="s">
        <v>34</v>
      </c>
      <c r="E3" s="19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E26"/>
  <sheetViews>
    <sheetView topLeftCell="A7" workbookViewId="0">
      <selection activeCell="A2" sqref="A2:A26"/>
    </sheetView>
  </sheetViews>
  <sheetFormatPr baseColWidth="10" defaultColWidth="12.5703125" defaultRowHeight="15.75" customHeight="1"/>
  <sheetData>
    <row r="1" spans="1:5" ht="15.75" customHeight="1">
      <c r="A1" s="20" t="s">
        <v>0</v>
      </c>
      <c r="B1" s="21" t="s">
        <v>35</v>
      </c>
      <c r="C1" s="22">
        <v>46048</v>
      </c>
      <c r="D1" s="22">
        <v>46049</v>
      </c>
      <c r="E1" s="22">
        <v>46050</v>
      </c>
    </row>
    <row r="2" spans="1:5">
      <c r="A2" s="23">
        <v>1</v>
      </c>
      <c r="B2" s="16">
        <f t="shared" ref="B2:B10" si="0">SUM(D2:P2)</f>
        <v>20</v>
      </c>
      <c r="C2" s="19"/>
      <c r="D2" s="23">
        <v>20</v>
      </c>
      <c r="E2" s="19"/>
    </row>
    <row r="3" spans="1:5">
      <c r="A3" s="23">
        <v>2</v>
      </c>
      <c r="B3" s="16">
        <f t="shared" si="0"/>
        <v>0</v>
      </c>
      <c r="C3" s="19"/>
      <c r="D3" s="19"/>
      <c r="E3" s="19"/>
    </row>
    <row r="4" spans="1:5">
      <c r="A4" s="23">
        <v>3</v>
      </c>
      <c r="B4" s="16">
        <f t="shared" si="0"/>
        <v>10</v>
      </c>
      <c r="C4" s="23">
        <v>20</v>
      </c>
      <c r="D4" s="23">
        <v>10</v>
      </c>
      <c r="E4" s="19"/>
    </row>
    <row r="5" spans="1:5">
      <c r="A5" s="23">
        <v>4</v>
      </c>
      <c r="B5" s="16">
        <f t="shared" si="0"/>
        <v>0</v>
      </c>
      <c r="C5" s="19"/>
      <c r="D5" s="19"/>
      <c r="E5" s="19"/>
    </row>
    <row r="6" spans="1:5">
      <c r="A6" s="23">
        <v>5</v>
      </c>
      <c r="B6" s="16">
        <f t="shared" si="0"/>
        <v>10</v>
      </c>
      <c r="C6" s="19"/>
      <c r="D6" s="24">
        <v>10</v>
      </c>
      <c r="E6" s="19"/>
    </row>
    <row r="7" spans="1:5">
      <c r="A7" s="23">
        <v>6</v>
      </c>
      <c r="B7" s="16">
        <f t="shared" si="0"/>
        <v>0</v>
      </c>
      <c r="C7" s="19"/>
      <c r="D7" s="19"/>
      <c r="E7" s="19"/>
    </row>
    <row r="8" spans="1:5">
      <c r="A8" s="23">
        <v>7</v>
      </c>
      <c r="B8" s="16">
        <f t="shared" si="0"/>
        <v>90</v>
      </c>
      <c r="C8" s="19"/>
      <c r="D8" s="24">
        <v>90</v>
      </c>
      <c r="E8" s="19"/>
    </row>
    <row r="9" spans="1:5" ht="15">
      <c r="A9" s="23">
        <v>8</v>
      </c>
      <c r="B9" s="16">
        <f t="shared" si="0"/>
        <v>30</v>
      </c>
      <c r="D9" s="25">
        <v>30</v>
      </c>
    </row>
    <row r="10" spans="1:5" ht="15">
      <c r="A10" s="23">
        <v>9</v>
      </c>
      <c r="B10" s="16">
        <f t="shared" si="0"/>
        <v>0</v>
      </c>
    </row>
    <row r="11" spans="1:5" ht="15.75" customHeight="1">
      <c r="A11" s="23">
        <v>10</v>
      </c>
    </row>
    <row r="12" spans="1:5" ht="15.75" customHeight="1">
      <c r="A12" s="23">
        <v>11</v>
      </c>
    </row>
    <row r="13" spans="1:5" ht="15.75" customHeight="1">
      <c r="A13" s="23">
        <v>12</v>
      </c>
    </row>
    <row r="14" spans="1:5" ht="15.75" customHeight="1">
      <c r="A14" s="23">
        <v>13</v>
      </c>
    </row>
    <row r="15" spans="1:5" ht="15.75" customHeight="1">
      <c r="A15" s="23">
        <v>14</v>
      </c>
    </row>
    <row r="16" spans="1:5" ht="15.75" customHeight="1">
      <c r="A16" s="23">
        <v>15</v>
      </c>
    </row>
    <row r="17" spans="1:1" ht="15.75" customHeight="1">
      <c r="A17" s="23">
        <v>16</v>
      </c>
    </row>
    <row r="18" spans="1:1" ht="15.75" customHeight="1">
      <c r="A18" s="23">
        <v>17</v>
      </c>
    </row>
    <row r="19" spans="1:1" ht="15.75" customHeight="1">
      <c r="A19" s="23">
        <v>18</v>
      </c>
    </row>
    <row r="20" spans="1:1" ht="15.75" customHeight="1">
      <c r="A20" s="23">
        <v>19</v>
      </c>
    </row>
    <row r="21" spans="1:1" ht="15.75" customHeight="1">
      <c r="A21" s="23">
        <v>20</v>
      </c>
    </row>
    <row r="22" spans="1:1" ht="15.75" customHeight="1">
      <c r="A22" s="23">
        <v>21</v>
      </c>
    </row>
    <row r="23" spans="1:1" ht="15.75" customHeight="1">
      <c r="A23" s="23">
        <v>22</v>
      </c>
    </row>
    <row r="24" spans="1:1" ht="15.75" customHeight="1">
      <c r="A24" s="23">
        <v>23</v>
      </c>
    </row>
    <row r="25" spans="1:1" ht="15.75" customHeight="1">
      <c r="A25" s="23">
        <v>24</v>
      </c>
    </row>
    <row r="26" spans="1:1" ht="15.75" customHeight="1">
      <c r="A26" s="23">
        <v>25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5</vt:i4>
      </vt:variant>
    </vt:vector>
  </HeadingPairs>
  <TitlesOfParts>
    <vt:vector size="5" baseType="lpstr">
      <vt:lpstr>groupe</vt:lpstr>
      <vt:lpstr>liste des taches</vt:lpstr>
      <vt:lpstr>Recap</vt:lpstr>
      <vt:lpstr>avancement</vt:lpstr>
      <vt:lpstr>detail_avancement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Ericka</cp:lastModifiedBy>
  <dcterms:modified xsi:type="dcterms:W3CDTF">2026-06-05T09:46:09Z</dcterms:modified>
</cp:coreProperties>
</file>